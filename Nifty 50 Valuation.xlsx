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bookViews>
    <workbookView xWindow="0" yWindow="0" windowWidth="23040" windowHeight="11040" firstSheet="1" activeTab="1"/>
  </bookViews>
  <sheets>
    <sheet name="Valuation&gt;" sheetId="1" r:id="rId1"/>
    <sheet name="Nifty 50 Valuation" sheetId="2" r:id="rId2"/>
    <sheet name="Data&gt;" sheetId="3" r:id="rId3"/>
    <sheet name="Exp Divident &amp; Buybacks" sheetId="10" r:id="rId4"/>
    <sheet name="Nifty EPS Growth" sheetId="7" r:id="rId5"/>
    <sheet name="Nifty Historicals" sheetId="5" r:id="rId6"/>
    <sheet name="ERP Historicals" sheetId="4" r:id="rId7"/>
    <sheet name="RFR Historicals" sheetId="6" r:id="rId8"/>
    <sheet name="BB Data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2" l="1"/>
  <c r="D31" i="2" l="1"/>
  <c r="B31" i="2"/>
  <c r="D16" i="2" l="1"/>
  <c r="L9" i="10" l="1"/>
  <c r="E4" i="10" l="1"/>
  <c r="E5" i="10"/>
  <c r="E6" i="10"/>
  <c r="E7" i="10"/>
  <c r="E8" i="10"/>
  <c r="E9" i="10"/>
  <c r="E10" i="10"/>
  <c r="F10" i="10" s="1"/>
  <c r="E11" i="10"/>
  <c r="F11" i="10" s="1"/>
  <c r="G11" i="10" s="1"/>
  <c r="H11" i="10" s="1"/>
  <c r="E12" i="10"/>
  <c r="E13" i="10"/>
  <c r="E14" i="10"/>
  <c r="E15" i="10"/>
  <c r="E16" i="10"/>
  <c r="E17" i="10"/>
  <c r="F17" i="10" s="1"/>
  <c r="G17" i="10" s="1"/>
  <c r="H17" i="10" s="1"/>
  <c r="E18" i="10"/>
  <c r="E19" i="10"/>
  <c r="E20" i="10"/>
  <c r="E21" i="10"/>
  <c r="E22" i="10"/>
  <c r="E23" i="10"/>
  <c r="E24" i="10"/>
  <c r="E25" i="10"/>
  <c r="E26" i="10"/>
  <c r="F26" i="10" s="1"/>
  <c r="G26" i="10" s="1"/>
  <c r="H26" i="10" s="1"/>
  <c r="E27" i="10"/>
  <c r="E28" i="10"/>
  <c r="F28" i="10" s="1"/>
  <c r="E29" i="10"/>
  <c r="F29" i="10" s="1"/>
  <c r="G29" i="10" s="1"/>
  <c r="H29" i="10" s="1"/>
  <c r="E30" i="10"/>
  <c r="F7" i="10"/>
  <c r="G7" i="10" s="1"/>
  <c r="H7" i="10" s="1"/>
  <c r="F8" i="10"/>
  <c r="G8" i="10" s="1"/>
  <c r="H8" i="10" s="1"/>
  <c r="F13" i="10"/>
  <c r="G13" i="10" s="1"/>
  <c r="H13" i="10" s="1"/>
  <c r="F14" i="10"/>
  <c r="G14" i="10" s="1"/>
  <c r="H14" i="10" s="1"/>
  <c r="F19" i="10"/>
  <c r="G19" i="10" s="1"/>
  <c r="H19" i="10" s="1"/>
  <c r="F20" i="10"/>
  <c r="G20" i="10" s="1"/>
  <c r="H20" i="10" s="1"/>
  <c r="F22" i="10"/>
  <c r="F25" i="10"/>
  <c r="G25" i="10" s="1"/>
  <c r="H25" i="10" s="1"/>
  <c r="G4" i="10"/>
  <c r="H4" i="10" s="1"/>
  <c r="D15" i="2"/>
  <c r="D14" i="2"/>
  <c r="G13" i="4"/>
  <c r="P12" i="6"/>
  <c r="D13" i="2"/>
  <c r="D10" i="2"/>
  <c r="C10" i="2"/>
  <c r="B19" i="2"/>
  <c r="B20" i="2" s="1"/>
  <c r="B21" i="2" s="1"/>
  <c r="D11" i="2"/>
  <c r="F5" i="10"/>
  <c r="G5" i="10" s="1"/>
  <c r="H5" i="10" s="1"/>
  <c r="F6" i="10"/>
  <c r="G6" i="10" s="1"/>
  <c r="H6" i="10" s="1"/>
  <c r="F12" i="10"/>
  <c r="G12" i="10" s="1"/>
  <c r="H12" i="10" s="1"/>
  <c r="F18" i="10"/>
  <c r="G18" i="10" s="1"/>
  <c r="H18" i="10" s="1"/>
  <c r="F23" i="10"/>
  <c r="G23" i="10" s="1"/>
  <c r="H23" i="10" s="1"/>
  <c r="F24" i="10"/>
  <c r="G24" i="10" s="1"/>
  <c r="H24" i="10" s="1"/>
  <c r="F30" i="10"/>
  <c r="G30" i="10" s="1"/>
  <c r="H30" i="10" s="1"/>
  <c r="F4" i="10"/>
  <c r="N10" i="7"/>
  <c r="N8" i="7"/>
  <c r="N6" i="7"/>
  <c r="N4" i="7"/>
  <c r="N2" i="7"/>
  <c r="J29" i="7"/>
  <c r="J28" i="7"/>
  <c r="J27" i="7"/>
  <c r="J26" i="7"/>
  <c r="J25" i="7"/>
  <c r="J24" i="7"/>
  <c r="I29" i="7"/>
  <c r="I28" i="7"/>
  <c r="I27" i="7"/>
  <c r="I26" i="7"/>
  <c r="I25" i="7"/>
  <c r="I24" i="7"/>
  <c r="I23" i="7"/>
  <c r="I22" i="7"/>
  <c r="I21" i="7"/>
  <c r="I20" i="7"/>
  <c r="I19" i="7"/>
  <c r="J23" i="7"/>
  <c r="I18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13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8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6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" i="7"/>
  <c r="J6" i="8"/>
  <c r="J5" i="8"/>
  <c r="P10" i="6"/>
  <c r="P8" i="6"/>
  <c r="P6" i="6"/>
  <c r="P4" i="6"/>
  <c r="P2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" i="6"/>
  <c r="J29" i="6"/>
  <c r="J27" i="6"/>
  <c r="J28" i="6"/>
  <c r="J5" i="6"/>
  <c r="J6" i="6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4" i="6"/>
  <c r="F16" i="10" l="1"/>
  <c r="G16" i="10" s="1"/>
  <c r="H16" i="10" s="1"/>
  <c r="F27" i="10"/>
  <c r="G27" i="10" s="1"/>
  <c r="H27" i="10" s="1"/>
  <c r="F21" i="10"/>
  <c r="G21" i="10" s="1"/>
  <c r="H21" i="10" s="1"/>
  <c r="F15" i="10"/>
  <c r="G15" i="10" s="1"/>
  <c r="H15" i="10" s="1"/>
  <c r="F9" i="10"/>
  <c r="G9" i="10" s="1"/>
  <c r="H9" i="10" s="1"/>
  <c r="G28" i="10"/>
  <c r="H28" i="10" s="1"/>
  <c r="G22" i="10"/>
  <c r="H22" i="10" s="1"/>
  <c r="G10" i="10"/>
  <c r="H10" i="10" s="1"/>
  <c r="D28" i="2"/>
  <c r="B22" i="2"/>
  <c r="B23" i="2" s="1"/>
  <c r="B24" i="2" s="1"/>
  <c r="G11" i="4"/>
  <c r="G9" i="4"/>
  <c r="G7" i="4"/>
  <c r="G5" i="4"/>
  <c r="G3" i="4"/>
  <c r="N11" i="5"/>
  <c r="N9" i="5"/>
  <c r="N7" i="5"/>
  <c r="N5" i="5"/>
  <c r="N3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" i="5"/>
  <c r="H5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4" i="5"/>
  <c r="L5" i="10" l="1"/>
  <c r="L7" i="10"/>
  <c r="D20" i="2"/>
  <c r="D29" i="2"/>
  <c r="D23" i="2"/>
  <c r="D22" i="2"/>
  <c r="D26" i="2"/>
  <c r="D27" i="2"/>
  <c r="D30" i="2"/>
  <c r="D21" i="2"/>
  <c r="D19" i="2"/>
  <c r="D18" i="2"/>
  <c r="D24" i="2"/>
  <c r="D25" i="2"/>
  <c r="B25" i="2"/>
  <c r="L11" i="10" l="1"/>
  <c r="L3" i="10"/>
  <c r="D12" i="2" s="1"/>
  <c r="C29" i="2" s="1"/>
  <c r="E29" i="2" s="1"/>
  <c r="B26" i="2"/>
  <c r="C28" i="2" l="1"/>
  <c r="E28" i="2" s="1"/>
  <c r="C25" i="2"/>
  <c r="E25" i="2" s="1"/>
  <c r="C23" i="2"/>
  <c r="E23" i="2" s="1"/>
  <c r="C22" i="2"/>
  <c r="E22" i="2" s="1"/>
  <c r="C30" i="2"/>
  <c r="C21" i="2"/>
  <c r="E21" i="2" s="1"/>
  <c r="C19" i="2"/>
  <c r="E19" i="2" s="1"/>
  <c r="C26" i="2"/>
  <c r="E26" i="2" s="1"/>
  <c r="C27" i="2"/>
  <c r="E27" i="2" s="1"/>
  <c r="C20" i="2"/>
  <c r="E20" i="2" s="1"/>
  <c r="C24" i="2"/>
  <c r="E24" i="2" s="1"/>
  <c r="C18" i="2"/>
  <c r="E18" i="2" s="1"/>
  <c r="B27" i="2"/>
  <c r="E30" i="2" l="1"/>
  <c r="C31" i="2"/>
  <c r="E8" i="2"/>
  <c r="E10" i="2" s="1"/>
  <c r="B28" i="2"/>
  <c r="B29" i="2" l="1"/>
  <c r="B30" i="2" l="1"/>
</calcChain>
</file>

<file path=xl/sharedStrings.xml><?xml version="1.0" encoding="utf-8"?>
<sst xmlns="http://schemas.openxmlformats.org/spreadsheetml/2006/main" count="292" uniqueCount="164">
  <si>
    <t xml:space="preserve">   </t>
  </si>
  <si>
    <t>Year beginning</t>
  </si>
  <si>
    <t>Date</t>
  </si>
  <si>
    <t>Change %</t>
  </si>
  <si>
    <t>Closing Price</t>
  </si>
  <si>
    <t xml:space="preserve">Monthly Return </t>
  </si>
  <si>
    <t>Year</t>
  </si>
  <si>
    <t>Nifty Average Range</t>
  </si>
  <si>
    <t>Average Return</t>
  </si>
  <si>
    <t>CAGR Nifty Return-</t>
  </si>
  <si>
    <t>20 Years</t>
  </si>
  <si>
    <t>15 Years</t>
  </si>
  <si>
    <t xml:space="preserve"> 10 Years</t>
  </si>
  <si>
    <t xml:space="preserve"> 5 Years</t>
  </si>
  <si>
    <t xml:space="preserve"> 3 Years</t>
  </si>
  <si>
    <t xml:space="preserve">Source - NSE </t>
  </si>
  <si>
    <t xml:space="preserve"> 15 Years</t>
  </si>
  <si>
    <t xml:space="preserve"> 10 Years </t>
  </si>
  <si>
    <t>Price</t>
  </si>
  <si>
    <t>Open</t>
  </si>
  <si>
    <t>High</t>
  </si>
  <si>
    <t>Low</t>
  </si>
  <si>
    <t xml:space="preserve">Year </t>
  </si>
  <si>
    <t>10Y Bond Average Range</t>
  </si>
  <si>
    <t>Average Rate-</t>
  </si>
  <si>
    <t>10 Years</t>
  </si>
  <si>
    <t>5 Years</t>
  </si>
  <si>
    <t>3 Years</t>
  </si>
  <si>
    <t xml:space="preserve">Source - Market Premia </t>
  </si>
  <si>
    <t>Source - Investing.com</t>
  </si>
  <si>
    <t>Industry name</t>
  </si>
  <si>
    <t>Number of firms</t>
  </si>
  <si>
    <t xml:space="preserve">  Dividends </t>
  </si>
  <si>
    <t>Dividends + Buybacks</t>
  </si>
  <si>
    <t>Buyback</t>
  </si>
  <si>
    <t>Buyback as % Divident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</si>
  <si>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</si>
  <si>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</si>
  <si>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</si>
  <si>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</si>
  <si>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</si>
  <si>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</si>
  <si>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</si>
  <si>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</si>
  <si>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</si>
  <si>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</si>
  <si>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</si>
  <si>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</si>
  <si>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</si>
  <si>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</si>
  <si>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</si>
  <si>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</si>
  <si>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</si>
  <si>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</si>
  <si>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</si>
  <si>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</si>
  <si>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</si>
  <si>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</si>
  <si>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</si>
  <si>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</si>
  <si>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</si>
  <si>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</si>
  <si>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</si>
  <si>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</si>
  <si>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</si>
  <si>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</si>
  <si>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</si>
  <si>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</si>
  <si>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</si>
  <si>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</si>
  <si>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</si>
  <si>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</si>
  <si>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</si>
  <si>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</si>
  <si>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</si>
  <si>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</si>
  <si>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</si>
  <si>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</si>
  <si>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</si>
  <si>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</si>
  <si>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</si>
  <si>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</si>
  <si>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</si>
  <si>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</si>
  <si>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</si>
  <si>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</si>
  <si>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</si>
  <si>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</si>
  <si>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</si>
  <si>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</si>
  <si>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</si>
  <si>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</si>
  <si>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</si>
  <si>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</si>
  <si>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</si>
  <si>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</si>
  <si>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</si>
  <si>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</si>
  <si>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</si>
  <si>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</si>
  <si>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</si>
  <si>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</si>
  <si>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</si>
  <si>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</si>
  <si>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</si>
  <si>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</si>
  <si>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</si>
  <si>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</si>
  <si>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</si>
  <si>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</si>
  <si>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</si>
  <si>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</si>
  <si>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</si>
  <si>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</si>
  <si>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</si>
  <si>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</si>
  <si>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</si>
  <si>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</si>
  <si>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</si>
  <si>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</si>
  <si>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</si>
  <si>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</si>
  <si>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</si>
  <si>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</si>
  <si>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</si>
  <si>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</si>
  <si>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</si>
  <si>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</si>
  <si>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</si>
  <si>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</si>
  <si>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Source - Damodaran Sir's Website</t>
  </si>
  <si>
    <t>Mean of Buyback as % of Divident</t>
  </si>
  <si>
    <t>Trimed Mean of Buyback as a % of Divident (10%)</t>
  </si>
  <si>
    <t>PE Ratio</t>
  </si>
  <si>
    <t>Nifty EPS</t>
  </si>
  <si>
    <t>EPS CAGR 3 Years</t>
  </si>
  <si>
    <t>EPS CAGR 5 Years</t>
  </si>
  <si>
    <t>EPS CAGR 10 Years</t>
  </si>
  <si>
    <t>EPS CAGR 15 Years</t>
  </si>
  <si>
    <t>EPS CAGR 20 Years</t>
  </si>
  <si>
    <t>-</t>
  </si>
  <si>
    <t>Average EPS CAGR-</t>
  </si>
  <si>
    <t>Divident Yield</t>
  </si>
  <si>
    <t>Divident Amount</t>
  </si>
  <si>
    <t>BB Amount</t>
  </si>
  <si>
    <t>Total Earnings</t>
  </si>
  <si>
    <t>Nifty Total Earning Yield</t>
  </si>
  <si>
    <t>Average Nifty Earnings Yield-</t>
  </si>
  <si>
    <t>Key Inputs</t>
  </si>
  <si>
    <t>Assumpstions</t>
  </si>
  <si>
    <t>Total Yield</t>
  </si>
  <si>
    <t xml:space="preserve">Expected Growth </t>
  </si>
  <si>
    <t xml:space="preserve">Risk Free Rate </t>
  </si>
  <si>
    <t>Equity Risk Premium</t>
  </si>
  <si>
    <t xml:space="preserve">Cost of Equity </t>
  </si>
  <si>
    <t>Expected Divident and Buyback</t>
  </si>
  <si>
    <t>Cumulative PV Factor (Risk Free Rate + Equity Risk Premium)</t>
  </si>
  <si>
    <t>Presented Value of Expected Dividents &amp; Buyback</t>
  </si>
  <si>
    <t>Valuation of Nifty 50</t>
  </si>
  <si>
    <t>Latest</t>
  </si>
  <si>
    <t>10Y Gov Bond Average Range (2000-2026)</t>
  </si>
  <si>
    <t>ERP % in India</t>
  </si>
  <si>
    <t>Average ERP-</t>
  </si>
  <si>
    <t>Current Nifty 50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</si>
</sst>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;@"/>
    <numFmt numFmtId="165" formatCode="[$-409]mmmm\ d\,\ yyyy;@"/>
    <numFmt numFmtId="166" formatCode="m/d/yyyy;@"/>
    <numFmt numFmtId="167" formatCode="0.0000"/>
    <numFmt numFmtId="168" formatCode="[$-409]d\-mmm\-yy;@"/>
  </numFmts>
  <fonts count="1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color theme="4" tint="-0.499984740745262"/>
      <name val="Calibri"/>
      <family val="2"/>
    </font>
    <font>
      <b/>
      <sz val="22"/>
      <color theme="0"/>
      <name val="Calibri"/>
      <family val="2"/>
    </font>
    <font>
      <b/>
      <sz val="14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11"/>
      <color theme="0" tint="-4.9989318521683403E-2"/>
      <name val="Calibri"/>
      <family val="2"/>
    </font>
    <font>
      <b/>
      <sz val="24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9" fontId="0" fillId="0" borderId="0" xfId="1" applyFont="1"/>
    <xf numFmtId="0" fontId="2" fillId="2" borderId="0" xfId="0" applyFont="1" applyFill="1"/>
    <xf numFmtId="10" fontId="0" fillId="0" borderId="0" xfId="1" applyNumberFormat="1" applyFont="1"/>
    <xf numFmtId="0" fontId="3" fillId="0" borderId="0" xfId="0" applyFont="1"/>
    <xf numFmtId="10" fontId="0" fillId="3" borderId="0" xfId="1" applyNumberFormat="1" applyFont="1" applyFill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  <xf numFmtId="164" fontId="0" fillId="0" borderId="4" xfId="0" applyNumberFormat="1" applyBorder="1" applyAlignment="1">
      <alignment horizontal="left"/>
    </xf>
    <xf numFmtId="0" fontId="0" fillId="0" borderId="0" xfId="0" applyBorder="1"/>
    <xf numFmtId="10" fontId="0" fillId="0" borderId="0" xfId="1" applyNumberFormat="1" applyFont="1" applyBorder="1"/>
    <xf numFmtId="0" fontId="0" fillId="0" borderId="5" xfId="0" applyBorder="1"/>
    <xf numFmtId="10" fontId="0" fillId="0" borderId="5" xfId="1" applyNumberFormat="1" applyFont="1" applyBorder="1"/>
    <xf numFmtId="164" fontId="0" fillId="0" borderId="6" xfId="0" applyNumberFormat="1" applyBorder="1" applyAlignment="1">
      <alignment horizontal="left"/>
    </xf>
    <xf numFmtId="0" fontId="0" fillId="0" borderId="7" xfId="0" applyBorder="1"/>
    <xf numFmtId="10" fontId="0" fillId="0" borderId="7" xfId="1" applyNumberFormat="1" applyFont="1" applyBorder="1"/>
    <xf numFmtId="10" fontId="0" fillId="0" borderId="8" xfId="1" applyNumberFormat="1" applyFont="1" applyBorder="1"/>
    <xf numFmtId="0" fontId="0" fillId="0" borderId="4" xfId="0" applyBorder="1" applyAlignment="1">
      <alignment horizontal="left"/>
    </xf>
    <xf numFmtId="2" fontId="0" fillId="0" borderId="0" xfId="0" applyNumberFormat="1" applyBorder="1"/>
    <xf numFmtId="0" fontId="0" fillId="0" borderId="6" xfId="0" applyBorder="1" applyAlignment="1">
      <alignment horizontal="left"/>
    </xf>
    <xf numFmtId="2" fontId="0" fillId="0" borderId="7" xfId="0" applyNumberFormat="1" applyBorder="1"/>
    <xf numFmtId="10" fontId="0" fillId="0" borderId="0" xfId="0" applyNumberFormat="1"/>
    <xf numFmtId="10" fontId="0" fillId="3" borderId="0" xfId="0" applyNumberFormat="1" applyFill="1"/>
    <xf numFmtId="0" fontId="4" fillId="0" borderId="0" xfId="0" applyFont="1"/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/>
    <xf numFmtId="0" fontId="0" fillId="0" borderId="10" xfId="0" applyBorder="1" applyAlignment="1">
      <alignment horizontal="left"/>
    </xf>
    <xf numFmtId="10" fontId="0" fillId="0" borderId="10" xfId="1" applyNumberFormat="1" applyFont="1" applyBorder="1"/>
    <xf numFmtId="0" fontId="0" fillId="0" borderId="11" xfId="0" applyBorder="1" applyAlignment="1">
      <alignment horizontal="left"/>
    </xf>
    <xf numFmtId="10" fontId="0" fillId="0" borderId="11" xfId="1" applyNumberFormat="1" applyFont="1" applyBorder="1"/>
    <xf numFmtId="0" fontId="0" fillId="0" borderId="0" xfId="0" applyAlignment="1">
      <alignment horizontal="left"/>
    </xf>
    <xf numFmtId="165" fontId="2" fillId="2" borderId="9" xfId="0" applyNumberFormat="1" applyFont="1" applyFill="1" applyBorder="1"/>
    <xf numFmtId="166" fontId="0" fillId="0" borderId="10" xfId="0" applyNumberFormat="1" applyBorder="1" applyAlignment="1">
      <alignment horizontal="left"/>
    </xf>
    <xf numFmtId="166" fontId="0" fillId="0" borderId="11" xfId="0" applyNumberForma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2" fillId="2" borderId="10" xfId="0" applyFont="1" applyFill="1" applyBorder="1"/>
    <xf numFmtId="0" fontId="4" fillId="0" borderId="10" xfId="0" applyFont="1" applyBorder="1" applyAlignment="1">
      <alignment horizontal="center"/>
    </xf>
    <xf numFmtId="168" fontId="0" fillId="0" borderId="10" xfId="0" applyNumberFormat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10" fillId="0" borderId="0" xfId="0" applyFont="1"/>
    <xf numFmtId="0" fontId="9" fillId="0" borderId="0" xfId="0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10" xfId="0" applyFill="1" applyBorder="1" applyAlignment="1">
      <alignment horizontal="left"/>
    </xf>
    <xf numFmtId="10" fontId="0" fillId="3" borderId="10" xfId="1" applyNumberFormat="1" applyFont="1" applyFill="1" applyBorder="1"/>
    <xf numFmtId="0" fontId="7" fillId="2" borderId="9" xfId="0" applyFont="1" applyFill="1" applyBorder="1" applyAlignment="1">
      <alignment horizontal="center"/>
    </xf>
    <xf numFmtId="2" fontId="11" fillId="0" borderId="9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b/>
        <i val="0"/>
        <color theme="8" tint="-0.24994659260841701"/>
      </font>
      <fill>
        <patternFill>
          <bgColor theme="4" tint="0.59996337778862885"/>
        </patternFill>
      </fill>
    </dxf>
    <dxf>
      <font>
        <b/>
        <i val="0"/>
        <color theme="9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7" tint="-0.24994659260841701"/>
      </font>
      <fill>
        <patternFill>
          <fgColor theme="0"/>
          <bgColor theme="7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</a:t>
            </a:r>
            <a:r>
              <a:rPr lang="en-US" baseline="0"/>
              <a:t> Dividends &amp; Earnings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 Divident &amp; Buybacks'!$D$3</c:f>
              <c:strCache>
                <c:ptCount val="1"/>
                <c:pt idx="0">
                  <c:v>Divident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 Divident &amp; Buybacks'!$B$4:$B$30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'Exp Divident &amp; Buybacks'!$D$4:$D$30</c:f>
              <c:numCache>
                <c:formatCode>0.00%</c:formatCode>
                <c:ptCount val="27"/>
                <c:pt idx="0">
                  <c:v>1.2824637681159401E-2</c:v>
                </c:pt>
                <c:pt idx="1">
                  <c:v>1.3090763052208836E-2</c:v>
                </c:pt>
                <c:pt idx="2">
                  <c:v>1.2305220883534126E-2</c:v>
                </c:pt>
                <c:pt idx="3">
                  <c:v>1.3770731707317074E-2</c:v>
                </c:pt>
                <c:pt idx="4">
                  <c:v>1.2904032258064508E-2</c:v>
                </c:pt>
                <c:pt idx="5">
                  <c:v>1.1003629032258067E-2</c:v>
                </c:pt>
                <c:pt idx="6">
                  <c:v>1.4283333333333325E-2</c:v>
                </c:pt>
                <c:pt idx="7">
                  <c:v>1.2505306122448974E-2</c:v>
                </c:pt>
                <c:pt idx="8">
                  <c:v>1.1988617886178839E-2</c:v>
                </c:pt>
                <c:pt idx="9">
                  <c:v>1.1388306451612899E-2</c:v>
                </c:pt>
                <c:pt idx="10">
                  <c:v>1.370323886639677E-2</c:v>
                </c:pt>
                <c:pt idx="11">
                  <c:v>1.3845564516129014E-2</c:v>
                </c:pt>
                <c:pt idx="12">
                  <c:v>1.350245901639345E-2</c:v>
                </c:pt>
                <c:pt idx="13">
                  <c:v>1.4479199999999994E-2</c:v>
                </c:pt>
                <c:pt idx="14">
                  <c:v>1.5058964143426301E-2</c:v>
                </c:pt>
                <c:pt idx="15">
                  <c:v>1.3097975708502017E-2</c:v>
                </c:pt>
                <c:pt idx="16">
                  <c:v>9.9630952380952344E-3</c:v>
                </c:pt>
                <c:pt idx="17">
                  <c:v>1.3697942386831282E-2</c:v>
                </c:pt>
                <c:pt idx="18">
                  <c:v>1.3157723577235776E-2</c:v>
                </c:pt>
                <c:pt idx="19">
                  <c:v>1.095381526104418E-2</c:v>
                </c:pt>
                <c:pt idx="20">
                  <c:v>1.4160400000000009E-2</c:v>
                </c:pt>
                <c:pt idx="21">
                  <c:v>1.7943027888446216E-2</c:v>
                </c:pt>
                <c:pt idx="22">
                  <c:v>2.0496850393700784E-2</c:v>
                </c:pt>
                <c:pt idx="23">
                  <c:v>2.314370078740156E-2</c:v>
                </c:pt>
                <c:pt idx="24">
                  <c:v>1.7757768924302794E-2</c:v>
                </c:pt>
                <c:pt idx="25">
                  <c:v>1.1907258064516124E-2</c:v>
                </c:pt>
                <c:pt idx="26">
                  <c:v>1.2322000000000001E-2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1-45DF-85EF-24F9B848541D}"/>
            </c:ext>
          </c:extLst>
        </c:ser>
        <c:ser>
          <c:idx val="1"/>
          <c:order val="1"/>
          <c:tx>
            <c:strRef>
              <c:f>'Exp Divident &amp; Buybacks'!$H$3</c:f>
              <c:strCache>
                <c:ptCount val="1"/>
                <c:pt idx="0">
                  <c:v>Nifty Total Earning Yield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'Exp Divident &amp; Buybacks'!$B$4:$B$30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'Exp Divident &amp; Buybacks'!$H$4:$H$30</c:f>
              <c:numCache>
                <c:formatCode>0.00%</c:formatCode>
                <c:ptCount val="27"/>
                <c:pt idx="0">
                  <c:v>8.9281384961413177E-2</c:v>
                </c:pt>
                <c:pt idx="1">
                  <c:v>8.7466361528027128E-2</c:v>
                </c:pt>
                <c:pt idx="2">
                  <c:v>9.3050049620351641E-2</c:v>
                </c:pt>
                <c:pt idx="3">
                  <c:v>8.3147463630697402E-2</c:v>
                </c:pt>
                <c:pt idx="4">
                  <c:v>8.8732063815685006E-2</c:v>
                </c:pt>
                <c:pt idx="5">
                  <c:v>0.10405670805927476</c:v>
                </c:pt>
                <c:pt idx="6">
                  <c:v>8.0163459542747159E-2</c:v>
                </c:pt>
                <c:pt idx="7">
                  <c:v>9.1561246289427647E-2</c:v>
                </c:pt>
                <c:pt idx="8">
                  <c:v>9.5507374133782422E-2</c:v>
                </c:pt>
                <c:pt idx="9">
                  <c:v>0.100541851298713</c:v>
                </c:pt>
                <c:pt idx="10">
                  <c:v>8.3556991523370636E-2</c:v>
                </c:pt>
                <c:pt idx="11">
                  <c:v>8.2698066407360965E-2</c:v>
                </c:pt>
                <c:pt idx="12">
                  <c:v>8.4799473370893538E-2</c:v>
                </c:pt>
                <c:pt idx="13">
                  <c:v>7.9079052282048617E-2</c:v>
                </c:pt>
                <c:pt idx="14">
                  <c:v>7.6034540151426411E-2</c:v>
                </c:pt>
                <c:pt idx="15">
                  <c:v>8.7418196466726286E-2</c:v>
                </c:pt>
                <c:pt idx="16">
                  <c:v>0.1149242666500036</c:v>
                </c:pt>
                <c:pt idx="17">
                  <c:v>8.3589299872001352E-2</c:v>
                </c:pt>
                <c:pt idx="18">
                  <c:v>8.7021239432572423E-2</c:v>
                </c:pt>
                <c:pt idx="19">
                  <c:v>0.10452991825362316</c:v>
                </c:pt>
                <c:pt idx="20">
                  <c:v>8.0859397601920652E-2</c:v>
                </c:pt>
                <c:pt idx="21">
                  <c:v>6.3813165811302197E-2</c:v>
                </c:pt>
                <c:pt idx="22">
                  <c:v>5.5862310150545207E-2</c:v>
                </c:pt>
                <c:pt idx="23">
                  <c:v>4.9473566233863842E-2</c:v>
                </c:pt>
                <c:pt idx="24">
                  <c:v>6.4478900400332412E-2</c:v>
                </c:pt>
                <c:pt idx="25">
                  <c:v>9.6159956187929274E-2</c:v>
                </c:pt>
                <c:pt idx="26">
                  <c:v>9.2923341486953234E-2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1-45DF-85EF-24F9B8485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037808"/>
        <c:axId val="929039472"/>
      </c:lineChart>
      <c:catAx>
        <c:axId val="92903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39472"/>
        <c:crosses val="autoZero"/>
        <c:auto val="1"/>
        <c:lblAlgn val="ctr"/>
        <c:lblOffset val="100"/>
        <c:noMultiLvlLbl val="0"/>
      </c:catAx>
      <c:valAx>
        <c:axId val="9290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3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'Exp Divident &amp; Buybacks'!$J$3:$K$11</c15:sqref>
                  </c15:fullRef>
                  <c15:levelRef>
                    <c15:sqref>'Exp Divident &amp; Buybacks'!$K$3:$K$11</c15:sqref>
                  </c15:levelRef>
                </c:ext>
              </c:extLst>
              <c:f>'Exp Divident &amp; Buybacks'!$K$3:$K$11</c:f>
              <c:strCache>
                <c:ptCount val="9"/>
                <c:pt idx="0">
                  <c:v>20 Years</c:v>
                </c:pt>
                <c:pt idx="2">
                  <c:v>15 Years</c:v>
                </c:pt>
                <c:pt idx="4">
                  <c:v>10 Years</c:v>
                </c:pt>
                <c:pt idx="6">
                  <c:v>5 Years</c:v>
                </c:pt>
                <c:pt idx="8">
                  <c:v>3 Years</c:v>
                </c:pt>
              </c:strCache>
            </c:strRef>
          </c:cat>
          <c:val>
            <c:numRef>
              <c:f>'Exp Divident &amp; Buybacks'!$L$3:$L$11</c:f>
              <c:numCache>
                <c:formatCode>General</c:formatCode>
                <c:ptCount val="9"/>
                <c:pt idx="0" formatCode="0.00%">
                  <c:v>8.3741607700239834E-2</c:v>
                </c:pt>
                <c:pt idx="2" formatCode="0.00%">
                  <c:v>8.1397774956809485E-2</c:v>
                </c:pt>
                <c:pt idx="4" formatCode="0.00%">
                  <c:v>7.7871109543104375E-2</c:v>
                </c:pt>
                <c:pt idx="6" formatCode="0.00%">
                  <c:v>7.1779614891924789E-2</c:v>
                </c:pt>
                <c:pt idx="8" formatCode="0.00%">
                  <c:v>8.4520732691738307E-2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5-444E-A542-9417EA0AD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4544208"/>
        <c:axId val="924541296"/>
      </c:barChart>
      <c:catAx>
        <c:axId val="92454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41296"/>
        <c:crosses val="autoZero"/>
        <c:auto val="1"/>
        <c:lblAlgn val="ctr"/>
        <c:lblOffset val="100"/>
        <c:noMultiLvlLbl val="0"/>
      </c:catAx>
      <c:valAx>
        <c:axId val="92454129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54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'Nifty EPS Growth'!$L$2:$M$10</c15:sqref>
                  </c15:fullRef>
                  <c15:levelRef>
                    <c15:sqref>'Nifty EPS Growth'!$M$2:$M$10</c15:sqref>
                  </c15:levelRef>
                </c:ext>
              </c:extLst>
              <c:f>'Nifty EPS Growth'!$M$2:$M$10</c:f>
              <c:strCache>
                <c:ptCount val="9"/>
                <c:pt idx="0">
                  <c:v>20 Years</c:v>
                </c:pt>
                <c:pt idx="2">
                  <c:v>15 Years</c:v>
                </c:pt>
                <c:pt idx="4">
                  <c:v>10 Years</c:v>
                </c:pt>
                <c:pt idx="6">
                  <c:v>5 Years</c:v>
                </c:pt>
                <c:pt idx="8">
                  <c:v>3 Years</c:v>
                </c:pt>
              </c:strCache>
            </c:strRef>
          </c:cat>
          <c:val>
            <c:numRef>
              <c:f>'Nifty EPS Growth'!$N$2:$N$10</c:f>
              <c:numCache>
                <c:formatCode>General</c:formatCode>
                <c:ptCount val="9"/>
                <c:pt idx="0" formatCode="0.00%">
                  <c:v>0.11152210056904331</c:v>
                </c:pt>
                <c:pt idx="2" formatCode="0.00%">
                  <c:v>0.10136209964635196</c:v>
                </c:pt>
                <c:pt idx="4" formatCode="0.00%">
                  <c:v>0.10306556050558735</c:v>
                </c:pt>
                <c:pt idx="6" formatCode="0.00%">
                  <c:v>0.1257488385159386</c:v>
                </c:pt>
                <c:pt idx="8" formatCode="0.00%">
                  <c:v>0.12897747251075234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B-47A0-A561-05127856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732912"/>
        <c:axId val="972741232"/>
      </c:barChart>
      <c:catAx>
        <c:axId val="9727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41232"/>
        <c:crosses val="autoZero"/>
        <c:auto val="1"/>
        <c:lblAlgn val="ctr"/>
        <c:lblOffset val="100"/>
        <c:noMultiLvlLbl val="0"/>
      </c:catAx>
      <c:valAx>
        <c:axId val="9727412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329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'Nifty Historicals'!$I$2</c:f>
              <c:strCache>
                <c:ptCount val="1"/>
                <c:pt idx="0">
                  <c:v>Nifty Average 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 Historicals'!$H$3:$H$29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'Nifty Historicals'!$I$3:$I$29</c:f>
              <c:numCache>
                <c:formatCode>0.00</c:formatCode>
                <c:ptCount val="27"/>
                <c:pt idx="0">
                  <c:v>1376.7954545454547</c:v>
                </c:pt>
                <c:pt idx="1">
                  <c:v>1117.575</c:v>
                </c:pt>
                <c:pt idx="2">
                  <c:v>1045.4833333333331</c:v>
                </c:pt>
                <c:pt idx="3">
                  <c:v>1264.0708333333332</c:v>
                </c:pt>
                <c:pt idx="4">
                  <c:v>1750.25</c:v>
                </c:pt>
                <c:pt idx="5">
                  <c:v>2297.1041666666665</c:v>
                </c:pt>
                <c:pt idx="6">
                  <c:v>3420.4749999999999</c:v>
                </c:pt>
                <c:pt idx="7">
                  <c:v>4680.6458333333339</c:v>
                </c:pt>
                <c:pt idx="8">
                  <c:v>4198.833333333333</c:v>
                </c:pt>
                <c:pt idx="9">
                  <c:v>4183.4458333333332</c:v>
                </c:pt>
                <c:pt idx="10">
                  <c:v>5462.0916666666672</c:v>
                </c:pt>
                <c:pt idx="11">
                  <c:v>5319.9291666666668</c:v>
                </c:pt>
                <c:pt idx="12">
                  <c:v>5410.5625</c:v>
                </c:pt>
                <c:pt idx="13">
                  <c:v>5908.0874999999987</c:v>
                </c:pt>
                <c:pt idx="14">
                  <c:v>7453.4958333333334</c:v>
                </c:pt>
                <c:pt idx="15">
                  <c:v>8298.8208333333332</c:v>
                </c:pt>
                <c:pt idx="16">
                  <c:v>8138.2083333333348</c:v>
                </c:pt>
                <c:pt idx="17">
                  <c:v>9661.4166666666679</c:v>
                </c:pt>
                <c:pt idx="18">
                  <c:v>10826.45</c:v>
                </c:pt>
                <c:pt idx="19">
                  <c:v>11535.4</c:v>
                </c:pt>
                <c:pt idx="20">
                  <c:v>11150.458333333334</c:v>
                </c:pt>
                <c:pt idx="21">
                  <c:v>15942.679166666669</c:v>
                </c:pt>
                <c:pt idx="22">
                  <c:v>17329.466666666664</c:v>
                </c:pt>
                <c:pt idx="23">
                  <c:v>18975.362499999999</c:v>
                </c:pt>
                <c:pt idx="24">
                  <c:v>23596.725000000002</c:v>
                </c:pt>
                <c:pt idx="25">
                  <c:v>24634.612500000003</c:v>
                </c:pt>
                <c:pt idx="26">
                  <c:v>24015.907142857144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B-43D4-AB73-C3B5567BE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626416"/>
        <c:axId val="1489625168"/>
      </c:lineChart>
      <c:catAx>
        <c:axId val="148962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25168"/>
        <c:crosses val="autoZero"/>
        <c:auto val="1"/>
        <c:lblAlgn val="ctr"/>
        <c:lblOffset val="100"/>
        <c:noMultiLvlLbl val="0"/>
      </c:catAx>
      <c:valAx>
        <c:axId val="148962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2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09492563429571"/>
          <c:y val="5.0925925925925923E-2"/>
          <c:w val="0.85334951881014875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'Nifty Historicals'!$L$3:$M$11</c15:sqref>
                  </c15:fullRef>
                  <c15:levelRef>
                    <c15:sqref>'Nifty Historicals'!$M$3:$M$11</c15:sqref>
                  </c15:levelRef>
                </c:ext>
              </c:extLst>
              <c:f>'Nifty Historicals'!$M$3:$M$11</c:f>
              <c:strCache>
                <c:ptCount val="9"/>
                <c:pt idx="0">
                  <c:v>20 Years</c:v>
                </c:pt>
                <c:pt idx="2">
                  <c:v>15 Years</c:v>
                </c:pt>
                <c:pt idx="4">
                  <c:v> 10 Years</c:v>
                </c:pt>
                <c:pt idx="6">
                  <c:v> 5 Years</c:v>
                </c:pt>
                <c:pt idx="8">
                  <c:v> 3 Years</c:v>
                </c:pt>
              </c:strCache>
            </c:strRef>
          </c:cat>
          <c:val>
            <c:numRef>
              <c:f>'Nifty Historicals'!$N$3:$N$11</c:f>
              <c:numCache>
                <c:formatCode>0.00%</c:formatCode>
                <c:ptCount val="9"/>
                <c:pt idx="0">
                  <c:v>0.10235284874490924</c:v>
                </c:pt>
                <c:pt idx="2">
                  <c:v>0.10570568634900668</c:v>
                </c:pt>
                <c:pt idx="4">
                  <c:v>0.11428688570080126</c:v>
                </c:pt>
                <c:pt idx="6">
                  <c:v>8.5394303342838596E-2</c:v>
                </c:pt>
                <c:pt idx="8">
                  <c:v>8.1690390316447203E-2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3-4E58-830C-BFB83E181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400768"/>
        <c:axId val="954401184"/>
      </c:barChart>
      <c:catAx>
        <c:axId val="95440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01184"/>
        <c:crosses val="autoZero"/>
        <c:auto val="1"/>
        <c:lblAlgn val="ctr"/>
        <c:lblOffset val="100"/>
        <c:noMultiLvlLbl val="0"/>
      </c:catAx>
      <c:valAx>
        <c:axId val="95440118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0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09492563429571"/>
          <c:y val="5.0784856879039705E-2"/>
          <c:w val="0.85334951881014875"/>
          <c:h val="0.786711598723289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'ERP Historicals'!$C$2</c:f>
              <c:strCache>
                <c:ptCount val="1"/>
                <c:pt idx="0">
                  <c:v>ERP % in India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'ERP Historicals'!$B$3:$B$29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xVal>
          <c:yVal>
            <c:numRef>
              <c:f>'ERP Historicals'!$C$3:$C$29</c:f>
              <c:numCache>
                <c:formatCode>0.00%</c:formatCode>
                <c:ptCount val="27"/>
                <c:pt idx="0">
                  <c:v>1.9900000000000001E-2</c:v>
                </c:pt>
                <c:pt idx="1">
                  <c:v>2.0799999999999999E-2</c:v>
                </c:pt>
                <c:pt idx="2">
                  <c:v>4.9200000000000001E-2</c:v>
                </c:pt>
                <c:pt idx="3">
                  <c:v>7.3099999999999998E-2</c:v>
                </c:pt>
                <c:pt idx="4">
                  <c:v>4.2900000000000001E-2</c:v>
                </c:pt>
                <c:pt idx="5">
                  <c:v>4.6199999999999998E-2</c:v>
                </c:pt>
                <c:pt idx="6">
                  <c:v>3.49E-2</c:v>
                </c:pt>
                <c:pt idx="7">
                  <c:v>2.98E-2</c:v>
                </c:pt>
                <c:pt idx="8">
                  <c:v>2.18E-2</c:v>
                </c:pt>
                <c:pt idx="9">
                  <c:v>6.5600000000000006E-2</c:v>
                </c:pt>
                <c:pt idx="10">
                  <c:v>2.46E-2</c:v>
                </c:pt>
                <c:pt idx="11">
                  <c:v>3.1E-2</c:v>
                </c:pt>
                <c:pt idx="12">
                  <c:v>3.7100000000000001E-2</c:v>
                </c:pt>
                <c:pt idx="13">
                  <c:v>2.8199999999999999E-2</c:v>
                </c:pt>
                <c:pt idx="14">
                  <c:v>2.81E-2</c:v>
                </c:pt>
                <c:pt idx="15">
                  <c:v>2.2800000000000001E-2</c:v>
                </c:pt>
                <c:pt idx="16">
                  <c:v>2.58E-2</c:v>
                </c:pt>
                <c:pt idx="17">
                  <c:v>2.58E-2</c:v>
                </c:pt>
                <c:pt idx="18">
                  <c:v>1.6500000000000001E-2</c:v>
                </c:pt>
                <c:pt idx="19">
                  <c:v>1.9900000000000001E-2</c:v>
                </c:pt>
                <c:pt idx="20">
                  <c:v>2.0500000000000001E-2</c:v>
                </c:pt>
                <c:pt idx="21">
                  <c:v>1.7399999999999999E-2</c:v>
                </c:pt>
                <c:pt idx="22">
                  <c:v>1.6299999999999999E-2</c:v>
                </c:pt>
                <c:pt idx="23">
                  <c:v>1.6500000000000001E-2</c:v>
                </c:pt>
                <c:pt idx="24">
                  <c:v>1.43E-2</c:v>
                </c:pt>
                <c:pt idx="25">
                  <c:v>1.67E-2</c:v>
                </c:pt>
                <c:pt idx="26">
                  <c:v>1.6799999999999999E-2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5-47C1-9E98-D47FD5125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627248"/>
        <c:axId val="1489627664"/>
      </c:scatterChart>
      <c:valAx>
        <c:axId val="1489627248"/>
        <c:scaling>
          <c:orientation val="minMax"/>
          <c:max val="2027"/>
          <c:min val="199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27664"/>
        <c:crosses val="autoZero"/>
        <c:crossBetween val="midCat"/>
        <c:majorUnit val="2"/>
      </c:valAx>
      <c:valAx>
        <c:axId val="1489627664"/>
        <c:scaling>
          <c:orientation val="minMax"/>
          <c:max val="9.0000000000000024E-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62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'RFR Historicals'!$K$2</c:f>
              <c:strCache>
                <c:ptCount val="1"/>
                <c:pt idx="0">
                  <c:v>10Y Bond Average Range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'RFR Historicals'!$J$3:$J$29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'RFR Historicals'!$K$3:$K$29</c:f>
              <c:numCache>
                <c:formatCode>0.00%</c:formatCode>
                <c:ptCount val="27"/>
                <c:pt idx="0">
                  <c:v>0.11044916666666667</c:v>
                </c:pt>
                <c:pt idx="1">
                  <c:v>9.3700833333333344E-2</c:v>
                </c:pt>
                <c:pt idx="2">
                  <c:v>7.1952500000000016E-2</c:v>
                </c:pt>
                <c:pt idx="3">
                  <c:v>5.6047500000000007E-2</c:v>
                </c:pt>
                <c:pt idx="4">
                  <c:v>5.9314166666666675E-2</c:v>
                </c:pt>
                <c:pt idx="5">
                  <c:v>6.9710000000000008E-2</c:v>
                </c:pt>
                <c:pt idx="6">
                  <c:v>7.662833333333334E-2</c:v>
                </c:pt>
                <c:pt idx="7">
                  <c:v>7.9529166666666651E-2</c:v>
                </c:pt>
                <c:pt idx="8">
                  <c:v>7.8546666666666667E-2</c:v>
                </c:pt>
                <c:pt idx="9">
                  <c:v>6.948583333333333E-2</c:v>
                </c:pt>
                <c:pt idx="10">
                  <c:v>7.8485000000000013E-2</c:v>
                </c:pt>
                <c:pt idx="11">
                  <c:v>8.3657499999999996E-2</c:v>
                </c:pt>
                <c:pt idx="12">
                  <c:v>8.2949999999999996E-2</c:v>
                </c:pt>
                <c:pt idx="13">
                  <c:v>8.1975833333333317E-2</c:v>
                </c:pt>
                <c:pt idx="14">
                  <c:v>8.555083333333334E-2</c:v>
                </c:pt>
                <c:pt idx="15">
                  <c:v>7.7501666666666677E-2</c:v>
                </c:pt>
                <c:pt idx="16">
                  <c:v>7.1738333333333348E-2</c:v>
                </c:pt>
                <c:pt idx="17">
                  <c:v>6.7472499999999991E-2</c:v>
                </c:pt>
                <c:pt idx="18">
                  <c:v>7.718916666666667E-2</c:v>
                </c:pt>
                <c:pt idx="19">
                  <c:v>6.918500000000001E-2</c:v>
                </c:pt>
                <c:pt idx="20">
                  <c:v>6.0612500000000007E-2</c:v>
                </c:pt>
                <c:pt idx="21">
                  <c:v>6.1889999999999994E-2</c:v>
                </c:pt>
                <c:pt idx="22">
                  <c:v>7.1882500000000002E-2</c:v>
                </c:pt>
                <c:pt idx="23">
                  <c:v>7.2236666666666671E-2</c:v>
                </c:pt>
                <c:pt idx="24">
                  <c:v>6.9460000000000008E-2</c:v>
                </c:pt>
                <c:pt idx="25">
                  <c:v>6.5031666666666668E-2</c:v>
                </c:pt>
                <c:pt idx="26">
                  <c:v>6.837E-2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1-4004-8CC1-B4415464C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031152"/>
        <c:axId val="929036976"/>
      </c:lineChart>
      <c:catAx>
        <c:axId val="92903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36976"/>
        <c:crosses val="autoZero"/>
        <c:auto val="1"/>
        <c:lblAlgn val="ctr"/>
        <c:lblOffset val="100"/>
        <c:noMultiLvlLbl val="0"/>
      </c:catAx>
      <c:valAx>
        <c:axId val="9290369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3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83819</xdr:colOff>
      <xdr:row>1</xdr:row>
      <xdr:rowOff>106684</xdr:rowOff>
    </xdr:from>
    <xdr:to>
      <xdr:col>2</xdr:col>
      <xdr:colOff>1427966</xdr:colOff>
      <xdr:row>6</xdr:row>
      <xdr:rowOff>38100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36" r="-18709"/>
        <a:stretch/>
      </xdr:blipFill>
      <xdr:spPr>
        <a:xfrm>
          <a:off x="83819" y="289564"/>
          <a:ext cx="3538707" cy="845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563880</xdr:colOff>
      <xdr:row>14</xdr:row>
      <xdr:rowOff>167640</xdr:rowOff>
    </xdr:from>
    <xdr:to>
      <xdr:col>14</xdr:col>
      <xdr:colOff>30480</xdr:colOff>
      <xdr:row>29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274320</xdr:colOff>
      <xdr:row>1</xdr:row>
      <xdr:rowOff>102870</xdr:rowOff>
    </xdr:from>
    <xdr:to>
      <xdr:col>18</xdr:col>
      <xdr:colOff>327660</xdr:colOff>
      <xdr:row>13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13</xdr:row>
      <xdr:rowOff>133350</xdr:rowOff>
    </xdr:from>
    <xdr:to>
      <xdr:col>16</xdr:col>
      <xdr:colOff>198120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13</xdr:row>
      <xdr:rowOff>60960</xdr:rowOff>
    </xdr:from>
    <xdr:to>
      <xdr:col>17</xdr:col>
      <xdr:colOff>342900</xdr:colOff>
      <xdr:row>28</xdr:row>
      <xdr:rowOff>60960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472440</xdr:colOff>
      <xdr:row>1</xdr:row>
      <xdr:rowOff>171450</xdr:rowOff>
    </xdr:from>
    <xdr:to>
      <xdr:col>19</xdr:col>
      <xdr:colOff>335280</xdr:colOff>
      <xdr:row>11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14</xdr:row>
      <xdr:rowOff>15240</xdr:rowOff>
    </xdr:from>
    <xdr:to>
      <xdr:col>10</xdr:col>
      <xdr:colOff>266700</xdr:colOff>
      <xdr:row>29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18</xdr:row>
      <xdr:rowOff>0</xdr:rowOff>
    </xdr:from>
    <xdr:to>
      <xdr:col>20</xdr:col>
      <xdr:colOff>7620</xdr:colOff>
      <xdr:row>33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showGridLines="0" workbookViewId="0">
      <selection activeCell="B2" sqref="B2"/>
    </sheetView>
  </sheetViews>
  <sheetFormatPr defaultRowHeight="14.4" x14ac:dyDescent="0.3"/>
  <cols>
    <col min="1" max="1" width="2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tabSelected="1" topLeftCell="A6" zoomScale="90" zoomScaleNormal="90" workbookViewId="0">
      <selection activeCell="E8" sqref="E8:E9"/>
    </sheetView>
  </sheetViews>
  <sheetFormatPr defaultRowHeight="14.4" x14ac:dyDescent="0.3"/>
  <cols>
    <col min="1" max="1" width="2" customWidth="1"/>
    <col min="2" max="2" width="30" customWidth="1"/>
    <col min="3" max="3" width="24.21875" customWidth="1"/>
    <col min="4" max="4" width="28.77734375" customWidth="1"/>
    <col min="5" max="5" width="36" customWidth="1"/>
    <col min="11" max="11" width="9.6640625" bestFit="1" customWidth="1"/>
    <col min="12" max="12" width="15.88671875" bestFit="1" customWidth="1"/>
    <col min="13" max="13" width="13.109375" bestFit="1" customWidth="1"/>
    <col min="14" max="14" width="18.44140625" bestFit="1" customWidth="1"/>
  </cols>
  <sheetData>
    <row r="1" spans="1:14" x14ac:dyDescent="0.3">
      <c r="A1" t="s">
        <v>0</v>
      </c>
    </row>
    <row r="6" spans="1:14" x14ac:dyDescent="0.3">
      <c r="K6" s="58" t="s">
        <v>150</v>
      </c>
      <c r="L6" s="58" t="s">
        <v>151</v>
      </c>
      <c r="M6" s="58" t="s">
        <v>152</v>
      </c>
      <c r="N6" s="58" t="s">
        <v>153</v>
      </c>
    </row>
    <row r="7" spans="1:14" x14ac:dyDescent="0.3">
      <c r="K7" s="57" t="s">
        <v>10</v>
      </c>
      <c r="L7" s="57" t="s">
        <v>10</v>
      </c>
      <c r="M7" s="57" t="s">
        <v>10</v>
      </c>
      <c r="N7" s="57" t="s">
        <v>10</v>
      </c>
    </row>
    <row r="8" spans="1:14" ht="37.799999999999997" customHeight="1" x14ac:dyDescent="0.55000000000000004">
      <c r="B8" s="64" t="s">
        <v>158</v>
      </c>
      <c r="C8" s="64"/>
      <c r="D8" s="64"/>
      <c r="E8" s="65">
        <f>IF(OR(C11="",C12="",C13="",C14="",C14="",C15="",C15=""),"Provide correct Inputs",SUM(E18:E31))</f>
        <v>29600.817202045706</v>
      </c>
      <c r="K8" s="57" t="s">
        <v>11</v>
      </c>
      <c r="L8" s="57" t="s">
        <v>11</v>
      </c>
      <c r="M8" s="57" t="s">
        <v>11</v>
      </c>
      <c r="N8" s="57" t="s">
        <v>16</v>
      </c>
    </row>
    <row r="9" spans="1:14" ht="27.6" customHeight="1" x14ac:dyDescent="0.35">
      <c r="B9" s="59" t="s">
        <v>148</v>
      </c>
      <c r="C9" s="43"/>
      <c r="D9" s="59" t="s">
        <v>149</v>
      </c>
      <c r="E9" s="66"/>
      <c r="K9" s="57" t="s">
        <v>25</v>
      </c>
      <c r="L9" s="57" t="s">
        <v>25</v>
      </c>
      <c r="M9" s="57" t="s">
        <v>25</v>
      </c>
      <c r="N9" s="57" t="s">
        <v>17</v>
      </c>
    </row>
    <row r="10" spans="1:14" ht="14.4" customHeight="1" x14ac:dyDescent="0.3">
      <c r="B10" s="44" t="s">
        <v>2</v>
      </c>
      <c r="C10" s="45">
        <f ca="1">TODAY()</f>
        <v>46255</v>
      </c>
      <c r="D10" s="45">
        <f ca="1">TODAY()</f>
        <v>46255</v>
      </c>
      <c r="E10" s="67" t="str">
        <f>IF(OR(C11="",C12="",C13="",C14="",C14="",C15="",C15=""),"Provide correct Inputs",IF(E8&gt;1.05*D11,"Undervalued",IF(E8&lt;0.95*D11,"Overvalued","Fairly Valued")))</f>
        <v>Undervalued</v>
      </c>
      <c r="K10" s="57" t="s">
        <v>26</v>
      </c>
      <c r="L10" s="57" t="s">
        <v>26</v>
      </c>
      <c r="M10" s="57" t="s">
        <v>26</v>
      </c>
      <c r="N10" s="57" t="s">
        <v>13</v>
      </c>
    </row>
    <row r="11" spans="1:14" ht="14.4" customHeight="1" x14ac:dyDescent="0.3">
      <c r="B11" s="44" t="s">
        <v>163</v>
      </c>
      <c r="C11" s="46">
        <v>23995.95</v>
      </c>
      <c r="D11" s="47">
        <f>C11</f>
        <v>23995.95</v>
      </c>
      <c r="E11" s="67"/>
      <c r="K11" s="57" t="s">
        <v>27</v>
      </c>
      <c r="L11" s="57" t="s">
        <v>27</v>
      </c>
      <c r="M11" s="57" t="s">
        <v>27</v>
      </c>
      <c r="N11" s="57" t="s">
        <v>14</v>
      </c>
    </row>
    <row r="12" spans="1:14" ht="14.4" customHeight="1" x14ac:dyDescent="0.3">
      <c r="B12" s="44" t="s">
        <v>150</v>
      </c>
      <c r="C12" s="46" t="s">
        <v>25</v>
      </c>
      <c r="D12" s="56">
        <f>VLOOKUP(C12,'Exp Divident &amp; Buybacks'!K3:L11,2,0)</f>
        <v>7.7871109543104375E-2</v>
      </c>
      <c r="E12" s="67"/>
      <c r="K12" s="57"/>
      <c r="L12" s="57"/>
      <c r="M12" s="57" t="s">
        <v>159</v>
      </c>
      <c r="N12" s="57" t="s">
        <v>159</v>
      </c>
    </row>
    <row r="13" spans="1:14" ht="14.4" customHeight="1" x14ac:dyDescent="0.3">
      <c r="B13" s="44" t="s">
        <v>151</v>
      </c>
      <c r="C13" s="46" t="s">
        <v>25</v>
      </c>
      <c r="D13" s="56">
        <f>VLOOKUP(C13,'Nifty EPS Growth'!M2:N10,2,0)</f>
        <v>0.10306556050558735</v>
      </c>
      <c r="E13" s="67"/>
    </row>
    <row r="14" spans="1:14" ht="14.4" customHeight="1" x14ac:dyDescent="0.3">
      <c r="B14" s="44" t="s">
        <v>152</v>
      </c>
      <c r="C14" s="46" t="s">
        <v>159</v>
      </c>
      <c r="D14" s="56">
        <f>VLOOKUP(C14,'RFR Historicals'!O2:P12,2,0)</f>
        <v>6.837E-2</v>
      </c>
      <c r="E14" s="67"/>
    </row>
    <row r="15" spans="1:14" ht="14.4" customHeight="1" x14ac:dyDescent="0.3">
      <c r="B15" s="44" t="s">
        <v>153</v>
      </c>
      <c r="C15" s="46" t="s">
        <v>159</v>
      </c>
      <c r="D15" s="56">
        <f>VLOOKUP(C15,'ERP Historicals'!F3:G13,2,0)</f>
        <v>1.6799999999999999E-2</v>
      </c>
      <c r="E15" s="67"/>
    </row>
    <row r="16" spans="1:14" ht="14.4" customHeight="1" x14ac:dyDescent="0.3">
      <c r="B16" s="44" t="s">
        <v>154</v>
      </c>
      <c r="C16" s="54"/>
      <c r="D16" s="56">
        <f>D14+D15</f>
        <v>8.5169999999999996E-2</v>
      </c>
      <c r="E16" s="68"/>
    </row>
    <row r="17" spans="2:5" ht="93.6" customHeight="1" x14ac:dyDescent="0.3">
      <c r="B17" s="55" t="s">
        <v>6</v>
      </c>
      <c r="C17" s="55" t="s">
        <v>155</v>
      </c>
      <c r="D17" s="55" t="s">
        <v>156</v>
      </c>
      <c r="E17" s="55" t="s">
        <v>157</v>
      </c>
    </row>
    <row r="18" spans="2:5" x14ac:dyDescent="0.3">
      <c r="B18" s="48">
        <v>2026</v>
      </c>
      <c r="C18" s="49">
        <f>$D$11*$D$12*(1+$D$13)^(B18-($B$18-1))</f>
        <v>2061.1786556852176</v>
      </c>
      <c r="D18" s="50">
        <f>1/((1+$D$16))^(B18-($B$18-1))</f>
        <v>0.92151460139885921</v>
      </c>
      <c r="E18" s="49">
        <f>C18*D18</f>
        <v>1899.4062273055997</v>
      </c>
    </row>
    <row r="19" spans="2:5" x14ac:dyDescent="0.3">
      <c r="B19" s="47">
        <f>B18+1</f>
        <v>2027</v>
      </c>
      <c r="C19" s="49">
        <f t="shared" ref="C19:C30" si="0">$D$11*$D$12*(1+$D$13)^(B19-($B$18-1))</f>
        <v>2273.6151891355676</v>
      </c>
      <c r="D19" s="50">
        <f t="shared" ref="D19:D30" si="1">1/((1+$D$16))^(B19-($B$18-1))</f>
        <v>0.84918916059129834</v>
      </c>
      <c r="E19" s="49">
        <f t="shared" ref="E19:E30" si="2">C19*D19</f>
        <v>1930.7293739696586</v>
      </c>
    </row>
    <row r="20" spans="2:5" x14ac:dyDescent="0.3">
      <c r="B20" s="47">
        <f t="shared" ref="B20:B30" si="3">B19+1</f>
        <v>2028</v>
      </c>
      <c r="C20" s="49">
        <f t="shared" si="0"/>
        <v>2507.9466129778416</v>
      </c>
      <c r="D20" s="50">
        <f t="shared" si="1"/>
        <v>0.78254021083452208</v>
      </c>
      <c r="E20" s="49">
        <f t="shared" si="2"/>
        <v>1962.5690712814057</v>
      </c>
    </row>
    <row r="21" spans="2:5" x14ac:dyDescent="0.3">
      <c r="B21" s="47">
        <f t="shared" si="3"/>
        <v>2029</v>
      </c>
      <c r="C21" s="49">
        <f t="shared" si="0"/>
        <v>2766.4295363624919</v>
      </c>
      <c r="D21" s="50">
        <f t="shared" si="1"/>
        <v>0.72112223046575386</v>
      </c>
      <c r="E21" s="49">
        <f t="shared" si="2"/>
        <v>1994.9338376880614</v>
      </c>
    </row>
    <row r="22" spans="2:5" x14ac:dyDescent="0.3">
      <c r="B22" s="47">
        <f t="shared" si="3"/>
        <v>2030</v>
      </c>
      <c r="C22" s="49">
        <f t="shared" si="0"/>
        <v>3051.5531471269042</v>
      </c>
      <c r="D22" s="50">
        <f t="shared" si="1"/>
        <v>0.66452466476750549</v>
      </c>
      <c r="E22" s="49">
        <f t="shared" si="2"/>
        <v>2027.8323321147323</v>
      </c>
    </row>
    <row r="23" spans="2:5" x14ac:dyDescent="0.3">
      <c r="B23" s="47">
        <f t="shared" si="3"/>
        <v>2031</v>
      </c>
      <c r="C23" s="49">
        <f t="shared" si="0"/>
        <v>3366.0631826481272</v>
      </c>
      <c r="D23" s="50">
        <f t="shared" si="1"/>
        <v>0.61236918157293829</v>
      </c>
      <c r="E23" s="49">
        <f t="shared" si="2"/>
        <v>2061.2733562810336</v>
      </c>
    </row>
    <row r="24" spans="2:5" x14ac:dyDescent="0.3">
      <c r="B24" s="47">
        <f t="shared" si="3"/>
        <v>2032</v>
      </c>
      <c r="C24" s="49">
        <f t="shared" si="0"/>
        <v>3712.9883712649771</v>
      </c>
      <c r="D24" s="50">
        <f t="shared" si="1"/>
        <v>0.56430714226613188</v>
      </c>
      <c r="E24" s="49">
        <f t="shared" si="2"/>
        <v>2095.2658570559188</v>
      </c>
    </row>
    <row r="25" spans="2:5" x14ac:dyDescent="0.3">
      <c r="B25" s="47">
        <f t="shared" si="3"/>
        <v>2033</v>
      </c>
      <c r="C25" s="49">
        <f t="shared" si="0"/>
        <v>4095.66959890013</v>
      </c>
      <c r="D25" s="50">
        <f t="shared" si="1"/>
        <v>0.52001727127190389</v>
      </c>
      <c r="E25" s="49">
        <f t="shared" si="2"/>
        <v>2129.8189288513386</v>
      </c>
    </row>
    <row r="26" spans="2:5" x14ac:dyDescent="0.3">
      <c r="B26" s="47">
        <f t="shared" si="3"/>
        <v>2034</v>
      </c>
      <c r="C26" s="49">
        <f t="shared" si="0"/>
        <v>4517.7920817564654</v>
      </c>
      <c r="D26" s="50">
        <f t="shared" si="1"/>
        <v>0.47920350845665088</v>
      </c>
      <c r="E26" s="49">
        <f t="shared" si="2"/>
        <v>2164.9418160553746</v>
      </c>
    </row>
    <row r="27" spans="2:5" x14ac:dyDescent="0.3">
      <c r="B27" s="47">
        <f t="shared" si="3"/>
        <v>2035</v>
      </c>
      <c r="C27" s="49">
        <f t="shared" si="0"/>
        <v>4983.4208549103996</v>
      </c>
      <c r="D27" s="50">
        <f t="shared" si="1"/>
        <v>0.44159303008436551</v>
      </c>
      <c r="E27" s="49">
        <f t="shared" si="2"/>
        <v>2200.6439155055027</v>
      </c>
    </row>
    <row r="28" spans="2:5" x14ac:dyDescent="0.3">
      <c r="B28" s="47">
        <f t="shared" si="3"/>
        <v>2036</v>
      </c>
      <c r="C28" s="49">
        <f t="shared" si="0"/>
        <v>5497.0399185569722</v>
      </c>
      <c r="D28" s="50">
        <f t="shared" si="1"/>
        <v>0.40693442509870847</v>
      </c>
      <c r="E28" s="49">
        <f t="shared" si="2"/>
        <v>2236.9347790026327</v>
      </c>
    </row>
    <row r="29" spans="2:5" x14ac:dyDescent="0.3">
      <c r="B29" s="47">
        <f t="shared" si="3"/>
        <v>2037</v>
      </c>
      <c r="C29" s="49">
        <f t="shared" si="0"/>
        <v>6063.5954188846345</v>
      </c>
      <c r="D29" s="50">
        <f t="shared" si="1"/>
        <v>0.37499601454031029</v>
      </c>
      <c r="E29" s="49">
        <f t="shared" si="2"/>
        <v>2273.824115866621</v>
      </c>
    </row>
    <row r="30" spans="2:5" x14ac:dyDescent="0.3">
      <c r="B30" s="47">
        <f t="shared" si="3"/>
        <v>2038</v>
      </c>
      <c r="C30" s="49">
        <f t="shared" si="0"/>
        <v>6688.5432794110902</v>
      </c>
      <c r="D30" s="50">
        <f t="shared" si="1"/>
        <v>0.34556430286527484</v>
      </c>
      <c r="E30" s="49">
        <f t="shared" si="2"/>
        <v>2311.3217955339128</v>
      </c>
    </row>
    <row r="31" spans="2:5" x14ac:dyDescent="0.3">
      <c r="B31" s="51" t="str">
        <f>B30&amp;"-"&amp;"∞"</f>
        <v>2038-∞</v>
      </c>
      <c r="C31" s="52">
        <f>C30*(1+D13)/D15</f>
        <v>439160.81794461148</v>
      </c>
      <c r="D31" s="53">
        <f>D30</f>
        <v>0.34556430286527484</v>
      </c>
      <c r="E31" s="52">
        <f>E30</f>
        <v>2311.3217955339128</v>
      </c>
    </row>
  </sheetData>
  <mergeCells count="3">
    <mergeCell ref="B8:D8"/>
    <mergeCell ref="E8:E9"/>
    <mergeCell ref="E10:E16"/>
  </mergeCells>
  <conditionalFormatting sqref="E10">
    <cfRule type="containsText" dxfId="4" priority="3" operator="containsText" text="Fairly Valued">
      <formula>NOT(ISERROR(SEARCH("Fairly Valued",E10)))</formula>
    </cfRule>
    <cfRule type="containsText" dxfId="3" priority="4" operator="containsText" text="Fairly Valued ">
      <formula>NOT(ISERROR(SEARCH("Fairly Valued ",E10)))</formula>
    </cfRule>
    <cfRule type="containsText" dxfId="2" priority="5" operator="containsText" text="Overvalued">
      <formula>NOT(ISERROR(SEARCH("Overvalued",E10)))</formula>
    </cfRule>
    <cfRule type="containsText" dxfId="1" priority="6" operator="containsText" text="Undervalued">
      <formula>NOT(ISERROR(SEARCH("Undervalued",E10)))</formula>
    </cfRule>
  </conditionalFormatting>
  <conditionalFormatting sqref="E10 C16">
    <cfRule type="containsText" dxfId="0" priority="2" operator="containsText" text="Fairly Valued ">
      <formula>NOT(ISERROR(SEARCH("Fairly Valued ",C10)))</formula>
    </cfRule>
  </conditionalFormatting>
  <dataValidations count="4">
    <dataValidation type="list" allowBlank="1" showInputMessage="1" showErrorMessage="1" sqref="C12">
      <formula1>$K$7:$K$11</formula1>
    </dataValidation>
    <dataValidation type="list" allowBlank="1" showInputMessage="1" showErrorMessage="1" sqref="C13">
      <formula1>$L$7:$L$11</formula1>
    </dataValidation>
    <dataValidation type="list" allowBlank="1" showInputMessage="1" showErrorMessage="1" sqref="C14">
      <formula1>$M$7:$M$12</formula1>
    </dataValidation>
    <dataValidation type="list" allowBlank="1" showInputMessage="1" showErrorMessage="1" sqref="C15">
      <formula1>$N$7:$N$12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showGridLines="0" workbookViewId="0">
      <selection activeCell="B23" sqref="B23"/>
    </sheetView>
  </sheetViews>
  <sheetFormatPr defaultRowHeight="14.4" x14ac:dyDescent="0.3"/>
  <cols>
    <col min="1" max="1" width="2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2"/>
  <sheetViews>
    <sheetView showGridLines="0" workbookViewId="0">
      <selection activeCell="H4" sqref="H4"/>
    </sheetView>
  </sheetViews>
  <sheetFormatPr defaultRowHeight="14.4" x14ac:dyDescent="0.3"/>
  <cols>
    <col min="1" max="1" width="2" customWidth="1"/>
    <col min="3" max="3" width="18.33203125" bestFit="1" customWidth="1"/>
    <col min="4" max="4" width="12.44140625" bestFit="1" customWidth="1"/>
    <col min="5" max="5" width="15.44140625" bestFit="1" customWidth="1"/>
    <col min="6" max="6" width="12.21875" customWidth="1"/>
    <col min="7" max="7" width="12.77734375" bestFit="1" customWidth="1"/>
    <col min="8" max="8" width="21.33203125" bestFit="1" customWidth="1"/>
    <col min="10" max="10" width="25.5546875" bestFit="1" customWidth="1"/>
  </cols>
  <sheetData>
    <row r="3" spans="2:12" x14ac:dyDescent="0.3">
      <c r="B3" s="37" t="s">
        <v>6</v>
      </c>
      <c r="C3" s="7" t="s">
        <v>7</v>
      </c>
      <c r="D3" s="7" t="s">
        <v>142</v>
      </c>
      <c r="E3" s="7" t="s">
        <v>143</v>
      </c>
      <c r="F3" s="7" t="s">
        <v>144</v>
      </c>
      <c r="G3" s="7" t="s">
        <v>145</v>
      </c>
      <c r="H3" s="8" t="s">
        <v>146</v>
      </c>
      <c r="J3" s="2" t="s">
        <v>147</v>
      </c>
      <c r="K3" s="2" t="s">
        <v>10</v>
      </c>
      <c r="L3" s="23">
        <f>AVERAGE(H11:H30)</f>
        <v>8.3741607700239834E-2</v>
      </c>
    </row>
    <row r="4" spans="2:12" x14ac:dyDescent="0.3">
      <c r="B4" s="18">
        <v>2000</v>
      </c>
      <c r="C4" s="19">
        <v>1376.7954545454547</v>
      </c>
      <c r="D4" s="11">
        <v>1.2824637681159401E-2</v>
      </c>
      <c r="E4" s="19">
        <f>C4/D4</f>
        <v>107355.50498772349</v>
      </c>
      <c r="F4" s="19">
        <f>E4*'BB Data'!$J$6</f>
        <v>15566.700002673106</v>
      </c>
      <c r="G4" s="19">
        <f>E4+F4</f>
        <v>122922.2049903966</v>
      </c>
      <c r="H4" s="13">
        <f>(G4/C4)/1000</f>
        <v>8.9281384961413177E-2</v>
      </c>
    </row>
    <row r="5" spans="2:12" x14ac:dyDescent="0.3">
      <c r="B5" s="18">
        <v>2001</v>
      </c>
      <c r="C5" s="19">
        <v>1117.575</v>
      </c>
      <c r="D5" s="11">
        <v>1.3090763052208836E-2</v>
      </c>
      <c r="E5" s="19">
        <f t="shared" ref="E5:E30" si="0">C5/D5</f>
        <v>85371.264879126276</v>
      </c>
      <c r="F5" s="19">
        <f>E5*'BB Data'!$J$6</f>
        <v>12378.954105558647</v>
      </c>
      <c r="G5" s="19">
        <f t="shared" ref="G5:G30" si="1">E5+F5</f>
        <v>97750.218984684921</v>
      </c>
      <c r="H5" s="13">
        <f t="shared" ref="H5:H30" si="2">(G5/C5)/1000</f>
        <v>8.7466361528027128E-2</v>
      </c>
      <c r="J5" s="2" t="s">
        <v>147</v>
      </c>
      <c r="K5" s="2" t="s">
        <v>11</v>
      </c>
      <c r="L5" s="23">
        <f>AVERAGE(H16:H30)</f>
        <v>8.1397774956809485E-2</v>
      </c>
    </row>
    <row r="6" spans="2:12" x14ac:dyDescent="0.3">
      <c r="B6" s="18">
        <v>2002</v>
      </c>
      <c r="C6" s="19">
        <v>1045.4833333333331</v>
      </c>
      <c r="D6" s="11">
        <v>1.2305220883534126E-2</v>
      </c>
      <c r="E6" s="19">
        <f t="shared" si="0"/>
        <v>84962.581592689341</v>
      </c>
      <c r="F6" s="19">
        <f>E6*'BB Data'!$J$6</f>
        <v>12319.694451227946</v>
      </c>
      <c r="G6" s="19">
        <f t="shared" si="1"/>
        <v>97282.276043917285</v>
      </c>
      <c r="H6" s="13">
        <f t="shared" si="2"/>
        <v>9.3050049620351641E-2</v>
      </c>
    </row>
    <row r="7" spans="2:12" x14ac:dyDescent="0.3">
      <c r="B7" s="18">
        <v>2003</v>
      </c>
      <c r="C7" s="19">
        <v>1264.0708333333332</v>
      </c>
      <c r="D7" s="11">
        <v>1.3770731707317074E-2</v>
      </c>
      <c r="E7" s="19">
        <f t="shared" si="0"/>
        <v>91794.020840713172</v>
      </c>
      <c r="F7" s="19">
        <f>E7*'BB Data'!$J$6</f>
        <v>13310.262800495499</v>
      </c>
      <c r="G7" s="19">
        <f t="shared" si="1"/>
        <v>105104.28364120868</v>
      </c>
      <c r="H7" s="13">
        <f t="shared" si="2"/>
        <v>8.3147463630697402E-2</v>
      </c>
      <c r="J7" s="2" t="s">
        <v>147</v>
      </c>
      <c r="K7" s="2" t="s">
        <v>25</v>
      </c>
      <c r="L7" s="23">
        <f>AVERAGE(H21:H30)</f>
        <v>7.7871109543104375E-2</v>
      </c>
    </row>
    <row r="8" spans="2:12" x14ac:dyDescent="0.3">
      <c r="B8" s="18">
        <v>2004</v>
      </c>
      <c r="C8" s="19">
        <v>1750.25</v>
      </c>
      <c r="D8" s="11">
        <v>1.2904032258064508E-2</v>
      </c>
      <c r="E8" s="19">
        <f t="shared" si="0"/>
        <v>135635.8977563903</v>
      </c>
      <c r="F8" s="19">
        <f>E8*'BB Data'!$J$6</f>
        <v>19667.396937012378</v>
      </c>
      <c r="G8" s="19">
        <f t="shared" si="1"/>
        <v>155303.29469340268</v>
      </c>
      <c r="H8" s="13">
        <f t="shared" si="2"/>
        <v>8.8732063815685006E-2</v>
      </c>
    </row>
    <row r="9" spans="2:12" x14ac:dyDescent="0.3">
      <c r="B9" s="18">
        <v>2005</v>
      </c>
      <c r="C9" s="19">
        <v>2297.1041666666665</v>
      </c>
      <c r="D9" s="11">
        <v>1.1003629032258067E-2</v>
      </c>
      <c r="E9" s="19">
        <f t="shared" si="0"/>
        <v>208758.77948379682</v>
      </c>
      <c r="F9" s="19">
        <f>E9*'BB Data'!$J$6</f>
        <v>30270.318168780152</v>
      </c>
      <c r="G9" s="19">
        <f t="shared" si="1"/>
        <v>239029.09765257698</v>
      </c>
      <c r="H9" s="13">
        <f t="shared" si="2"/>
        <v>0.10405670805927476</v>
      </c>
      <c r="J9" s="2" t="s">
        <v>147</v>
      </c>
      <c r="K9" s="2" t="s">
        <v>26</v>
      </c>
      <c r="L9" s="23">
        <f>AVERAGE(H26:H30)</f>
        <v>7.1779614891924789E-2</v>
      </c>
    </row>
    <row r="10" spans="2:12" x14ac:dyDescent="0.3">
      <c r="B10" s="18">
        <v>2006</v>
      </c>
      <c r="C10" s="19">
        <v>3420.4749999999999</v>
      </c>
      <c r="D10" s="11">
        <v>1.4283333333333325E-2</v>
      </c>
      <c r="E10" s="19">
        <f t="shared" si="0"/>
        <v>239473.16219369907</v>
      </c>
      <c r="F10" s="19">
        <f>E10*'BB Data'!$J$6</f>
        <v>34723.947085778986</v>
      </c>
      <c r="G10" s="19">
        <f t="shared" si="1"/>
        <v>274197.10927947809</v>
      </c>
      <c r="H10" s="13">
        <f t="shared" si="2"/>
        <v>8.0163459542747159E-2</v>
      </c>
    </row>
    <row r="11" spans="2:12" x14ac:dyDescent="0.3">
      <c r="B11" s="18">
        <v>2007</v>
      </c>
      <c r="C11" s="19">
        <v>4680.6458333333339</v>
      </c>
      <c r="D11" s="11">
        <v>1.2505306122448974E-2</v>
      </c>
      <c r="E11" s="19">
        <f t="shared" si="0"/>
        <v>374292.78319951281</v>
      </c>
      <c r="F11" s="19">
        <f>E11*'BB Data'!$J$6</f>
        <v>54272.98273990387</v>
      </c>
      <c r="G11" s="19">
        <f t="shared" si="1"/>
        <v>428565.76593941665</v>
      </c>
      <c r="H11" s="13">
        <f t="shared" si="2"/>
        <v>9.1561246289427647E-2</v>
      </c>
      <c r="J11" s="2" t="s">
        <v>147</v>
      </c>
      <c r="K11" s="2" t="s">
        <v>27</v>
      </c>
      <c r="L11" s="23">
        <f>AVERAGE(H28:H30)</f>
        <v>8.4520732691738307E-2</v>
      </c>
    </row>
    <row r="12" spans="2:12" x14ac:dyDescent="0.3">
      <c r="B12" s="18">
        <v>2008</v>
      </c>
      <c r="C12" s="19">
        <v>4198.833333333333</v>
      </c>
      <c r="D12" s="11">
        <v>1.1988617886178839E-2</v>
      </c>
      <c r="E12" s="19">
        <f t="shared" si="0"/>
        <v>350234.97897735046</v>
      </c>
      <c r="F12" s="19">
        <f>E12*'BB Data'!$J$6</f>
        <v>50784.567114712881</v>
      </c>
      <c r="G12" s="19">
        <f t="shared" si="1"/>
        <v>401019.54609206336</v>
      </c>
      <c r="H12" s="13">
        <f t="shared" si="2"/>
        <v>9.5507374133782422E-2</v>
      </c>
    </row>
    <row r="13" spans="2:12" x14ac:dyDescent="0.3">
      <c r="B13" s="18">
        <v>2009</v>
      </c>
      <c r="C13" s="19">
        <v>4183.4458333333332</v>
      </c>
      <c r="D13" s="11">
        <v>1.1388306451612899E-2</v>
      </c>
      <c r="E13" s="19">
        <f t="shared" si="0"/>
        <v>367345.73758689483</v>
      </c>
      <c r="F13" s="19">
        <f>E13*'BB Data'!$J$6</f>
        <v>53265.651304325627</v>
      </c>
      <c r="G13" s="19">
        <f t="shared" si="1"/>
        <v>420611.38889122044</v>
      </c>
      <c r="H13" s="13">
        <f t="shared" si="2"/>
        <v>0.100541851298713</v>
      </c>
    </row>
    <row r="14" spans="2:12" x14ac:dyDescent="0.3">
      <c r="B14" s="18">
        <v>2010</v>
      </c>
      <c r="C14" s="19">
        <v>5462.0916666666672</v>
      </c>
      <c r="D14" s="11">
        <v>1.370323886639677E-2</v>
      </c>
      <c r="E14" s="19">
        <f t="shared" si="0"/>
        <v>398598.58825499041</v>
      </c>
      <c r="F14" s="19">
        <f>E14*'BB Data'!$J$6</f>
        <v>57797.358836549698</v>
      </c>
      <c r="G14" s="19">
        <f t="shared" si="1"/>
        <v>456395.94709154009</v>
      </c>
      <c r="H14" s="13">
        <f t="shared" si="2"/>
        <v>8.3556991523370636E-2</v>
      </c>
    </row>
    <row r="15" spans="2:12" x14ac:dyDescent="0.3">
      <c r="B15" s="18">
        <v>2011</v>
      </c>
      <c r="C15" s="19">
        <v>5319.9291666666668</v>
      </c>
      <c r="D15" s="11">
        <v>1.3845564516129014E-2</v>
      </c>
      <c r="E15" s="19">
        <f t="shared" si="0"/>
        <v>384233.46050421853</v>
      </c>
      <c r="F15" s="19">
        <f>E15*'BB Data'!$J$6</f>
        <v>55714.395003238016</v>
      </c>
      <c r="G15" s="19">
        <f t="shared" si="1"/>
        <v>439947.85550745652</v>
      </c>
      <c r="H15" s="13">
        <f t="shared" si="2"/>
        <v>8.2698066407360965E-2</v>
      </c>
    </row>
    <row r="16" spans="2:12" x14ac:dyDescent="0.3">
      <c r="B16" s="18">
        <v>2012</v>
      </c>
      <c r="C16" s="19">
        <v>5410.5625</v>
      </c>
      <c r="D16" s="11">
        <v>1.350245901639345E-2</v>
      </c>
      <c r="E16" s="19">
        <f t="shared" si="0"/>
        <v>400709.4184422993</v>
      </c>
      <c r="F16" s="19">
        <f>E16*'BB Data'!$J$6</f>
        <v>58103.432198005932</v>
      </c>
      <c r="G16" s="19">
        <f t="shared" si="1"/>
        <v>458812.8506403052</v>
      </c>
      <c r="H16" s="13">
        <f t="shared" si="2"/>
        <v>8.4799473370893538E-2</v>
      </c>
    </row>
    <row r="17" spans="2:8" x14ac:dyDescent="0.3">
      <c r="B17" s="18">
        <v>2013</v>
      </c>
      <c r="C17" s="19">
        <v>5908.0874999999987</v>
      </c>
      <c r="D17" s="11">
        <v>1.4479199999999994E-2</v>
      </c>
      <c r="E17" s="19">
        <f t="shared" si="0"/>
        <v>408039.63616774417</v>
      </c>
      <c r="F17" s="19">
        <f>E17*'BB Data'!$J$6</f>
        <v>59166.324131673668</v>
      </c>
      <c r="G17" s="19">
        <f t="shared" si="1"/>
        <v>467205.96029941784</v>
      </c>
      <c r="H17" s="13">
        <f t="shared" si="2"/>
        <v>7.9079052282048617E-2</v>
      </c>
    </row>
    <row r="18" spans="2:8" x14ac:dyDescent="0.3">
      <c r="B18" s="18">
        <v>2014</v>
      </c>
      <c r="C18" s="19">
        <v>7453.4958333333334</v>
      </c>
      <c r="D18" s="11">
        <v>1.5058964143426301E-2</v>
      </c>
      <c r="E18" s="19">
        <f t="shared" si="0"/>
        <v>494954.08597456635</v>
      </c>
      <c r="F18" s="19">
        <f>E18*'BB Data'!$J$6</f>
        <v>71769.042233506523</v>
      </c>
      <c r="G18" s="19">
        <f t="shared" si="1"/>
        <v>566723.12820807286</v>
      </c>
      <c r="H18" s="13">
        <f t="shared" si="2"/>
        <v>7.6034540151426411E-2</v>
      </c>
    </row>
    <row r="19" spans="2:8" x14ac:dyDescent="0.3">
      <c r="B19" s="18">
        <v>2015</v>
      </c>
      <c r="C19" s="19">
        <v>8298.8208333333332</v>
      </c>
      <c r="D19" s="11">
        <v>1.3097975708502017E-2</v>
      </c>
      <c r="E19" s="19">
        <f t="shared" si="0"/>
        <v>633595.68058646587</v>
      </c>
      <c r="F19" s="19">
        <f>E19*'BB Data'!$J$6</f>
        <v>91872.269464028679</v>
      </c>
      <c r="G19" s="19">
        <f t="shared" si="1"/>
        <v>725467.95005049452</v>
      </c>
      <c r="H19" s="13">
        <f t="shared" si="2"/>
        <v>8.7418196466726286E-2</v>
      </c>
    </row>
    <row r="20" spans="2:8" x14ac:dyDescent="0.3">
      <c r="B20" s="18">
        <v>2016</v>
      </c>
      <c r="C20" s="19">
        <v>8138.2083333333348</v>
      </c>
      <c r="D20" s="11">
        <v>9.9630952380952344E-3</v>
      </c>
      <c r="E20" s="19">
        <f t="shared" si="0"/>
        <v>816835.34472457925</v>
      </c>
      <c r="F20" s="19">
        <f>E20*'BB Data'!$J$6</f>
        <v>118442.27982870235</v>
      </c>
      <c r="G20" s="19">
        <f t="shared" si="1"/>
        <v>935277.62455328158</v>
      </c>
      <c r="H20" s="13">
        <f t="shared" si="2"/>
        <v>0.1149242666500036</v>
      </c>
    </row>
    <row r="21" spans="2:8" x14ac:dyDescent="0.3">
      <c r="B21" s="18">
        <v>2017</v>
      </c>
      <c r="C21" s="19">
        <v>9661.4166666666679</v>
      </c>
      <c r="D21" s="11">
        <v>1.3697942386831282E-2</v>
      </c>
      <c r="E21" s="19">
        <f t="shared" si="0"/>
        <v>705318.82773538399</v>
      </c>
      <c r="F21" s="19">
        <f>E21*'BB Data'!$J$6</f>
        <v>102272.22720296776</v>
      </c>
      <c r="G21" s="19">
        <f t="shared" si="1"/>
        <v>807591.05493835174</v>
      </c>
      <c r="H21" s="13">
        <f t="shared" si="2"/>
        <v>8.3589299872001352E-2</v>
      </c>
    </row>
    <row r="22" spans="2:8" x14ac:dyDescent="0.3">
      <c r="B22" s="18">
        <v>2018</v>
      </c>
      <c r="C22" s="19">
        <v>10826.45</v>
      </c>
      <c r="D22" s="11">
        <v>1.3157723577235776E-2</v>
      </c>
      <c r="E22" s="19">
        <f t="shared" si="0"/>
        <v>822820.90336134436</v>
      </c>
      <c r="F22" s="19">
        <f>E22*'BB Data'!$J$6</f>
        <v>119310.19429342948</v>
      </c>
      <c r="G22" s="19">
        <f t="shared" si="1"/>
        <v>942131.09765477385</v>
      </c>
      <c r="H22" s="13">
        <f t="shared" si="2"/>
        <v>8.7021239432572423E-2</v>
      </c>
    </row>
    <row r="23" spans="2:8" x14ac:dyDescent="0.3">
      <c r="B23" s="18">
        <v>2019</v>
      </c>
      <c r="C23" s="19">
        <v>11535.4</v>
      </c>
      <c r="D23" s="11">
        <v>1.095381526104418E-2</v>
      </c>
      <c r="E23" s="19">
        <f t="shared" si="0"/>
        <v>1053094.262144821</v>
      </c>
      <c r="F23" s="19">
        <f>E23*'BB Data'!$J$6</f>
        <v>152700.15687802355</v>
      </c>
      <c r="G23" s="19">
        <f t="shared" si="1"/>
        <v>1205794.4190228446</v>
      </c>
      <c r="H23" s="13">
        <f t="shared" si="2"/>
        <v>0.10452991825362316</v>
      </c>
    </row>
    <row r="24" spans="2:8" x14ac:dyDescent="0.3">
      <c r="B24" s="18">
        <v>2020</v>
      </c>
      <c r="C24" s="19">
        <v>11150.458333333334</v>
      </c>
      <c r="D24" s="11">
        <v>1.4160400000000009E-2</v>
      </c>
      <c r="E24" s="19">
        <f t="shared" si="0"/>
        <v>787439.50265058386</v>
      </c>
      <c r="F24" s="19">
        <f>E24*'BB Data'!$J$6</f>
        <v>114179.8411680657</v>
      </c>
      <c r="G24" s="19">
        <f t="shared" si="1"/>
        <v>901619.34381864953</v>
      </c>
      <c r="H24" s="13">
        <f t="shared" si="2"/>
        <v>8.0859397601920652E-2</v>
      </c>
    </row>
    <row r="25" spans="2:8" x14ac:dyDescent="0.3">
      <c r="B25" s="18">
        <v>2021</v>
      </c>
      <c r="C25" s="19">
        <v>15942.679166666669</v>
      </c>
      <c r="D25" s="11">
        <v>1.7943027888446216E-2</v>
      </c>
      <c r="E25" s="19">
        <f t="shared" si="0"/>
        <v>888516.65760004742</v>
      </c>
      <c r="F25" s="19">
        <f>E25*'BB Data'!$J$6</f>
        <v>128836.17153884578</v>
      </c>
      <c r="G25" s="19">
        <f t="shared" si="1"/>
        <v>1017352.8291388932</v>
      </c>
      <c r="H25" s="13">
        <f t="shared" si="2"/>
        <v>6.3813165811302197E-2</v>
      </c>
    </row>
    <row r="26" spans="2:8" x14ac:dyDescent="0.3">
      <c r="B26" s="18">
        <v>2022</v>
      </c>
      <c r="C26" s="19">
        <v>17329.466666666664</v>
      </c>
      <c r="D26" s="11">
        <v>2.0496850393700784E-2</v>
      </c>
      <c r="E26" s="19">
        <f t="shared" si="0"/>
        <v>845469.73480337544</v>
      </c>
      <c r="F26" s="19">
        <f>E26*'BB Data'!$J$6</f>
        <v>122594.30687349256</v>
      </c>
      <c r="G26" s="19">
        <f t="shared" si="1"/>
        <v>968064.04167686799</v>
      </c>
      <c r="H26" s="13">
        <f t="shared" si="2"/>
        <v>5.5862310150545207E-2</v>
      </c>
    </row>
    <row r="27" spans="2:8" x14ac:dyDescent="0.3">
      <c r="B27" s="18">
        <v>2023</v>
      </c>
      <c r="C27" s="19">
        <v>18975.362499999999</v>
      </c>
      <c r="D27" s="11">
        <v>2.314370078740156E-2</v>
      </c>
      <c r="E27" s="19">
        <f t="shared" si="0"/>
        <v>819893.18278472451</v>
      </c>
      <c r="F27" s="19">
        <f>E27*'BB Data'!$J$6</f>
        <v>118885.6706706017</v>
      </c>
      <c r="G27" s="19">
        <f t="shared" si="1"/>
        <v>938778.85345532617</v>
      </c>
      <c r="H27" s="13">
        <f t="shared" si="2"/>
        <v>4.9473566233863842E-2</v>
      </c>
    </row>
    <row r="28" spans="2:8" x14ac:dyDescent="0.3">
      <c r="B28" s="18">
        <v>2024</v>
      </c>
      <c r="C28" s="19">
        <v>23596.725000000002</v>
      </c>
      <c r="D28" s="11">
        <v>1.7757768924302794E-2</v>
      </c>
      <c r="E28" s="19">
        <f t="shared" si="0"/>
        <v>1328811.3557839</v>
      </c>
      <c r="F28" s="19">
        <f>E28*'BB Data'!$J$6</f>
        <v>192679.52526513403</v>
      </c>
      <c r="G28" s="19">
        <f t="shared" si="1"/>
        <v>1521490.881049034</v>
      </c>
      <c r="H28" s="13">
        <f t="shared" si="2"/>
        <v>6.4478900400332412E-2</v>
      </c>
    </row>
    <row r="29" spans="2:8" x14ac:dyDescent="0.3">
      <c r="B29" s="18">
        <v>2025</v>
      </c>
      <c r="C29" s="19">
        <v>24634.612500000003</v>
      </c>
      <c r="D29" s="11">
        <v>1.1907258064516124E-2</v>
      </c>
      <c r="E29" s="19">
        <f t="shared" si="0"/>
        <v>2068873.6539112779</v>
      </c>
      <c r="F29" s="19">
        <f>E29*'BB Data'!$J$6</f>
        <v>299989.60479533707</v>
      </c>
      <c r="G29" s="19">
        <f t="shared" si="1"/>
        <v>2368863.2587066148</v>
      </c>
      <c r="H29" s="13">
        <f t="shared" si="2"/>
        <v>9.6159956187929274E-2</v>
      </c>
    </row>
    <row r="30" spans="2:8" x14ac:dyDescent="0.3">
      <c r="B30" s="20">
        <v>2026</v>
      </c>
      <c r="C30" s="21">
        <v>24015.907142857144</v>
      </c>
      <c r="D30" s="16">
        <v>1.2322000000000001E-2</v>
      </c>
      <c r="E30" s="21">
        <f t="shared" si="0"/>
        <v>1949026.7118046698</v>
      </c>
      <c r="F30" s="21">
        <f>E30*'BB Data'!$J$6</f>
        <v>282611.62875000399</v>
      </c>
      <c r="G30" s="21">
        <f t="shared" si="1"/>
        <v>2231638.3405546737</v>
      </c>
      <c r="H30" s="17">
        <f t="shared" si="2"/>
        <v>9.2923341486953234E-2</v>
      </c>
    </row>
    <row r="32" spans="2:8" x14ac:dyDescent="0.3">
      <c r="H32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9"/>
  <sheetViews>
    <sheetView showGridLines="0" workbookViewId="0">
      <selection activeCell="N8" sqref="N8"/>
    </sheetView>
  </sheetViews>
  <sheetFormatPr defaultRowHeight="14.4" x14ac:dyDescent="0.3"/>
  <cols>
    <col min="1" max="1" width="2" customWidth="1"/>
    <col min="2" max="2" width="5" bestFit="1" customWidth="1"/>
    <col min="3" max="3" width="19.77734375" customWidth="1"/>
    <col min="4" max="4" width="11.5546875" customWidth="1"/>
    <col min="5" max="5" width="12.21875" customWidth="1"/>
    <col min="6" max="6" width="15.33203125" bestFit="1" customWidth="1"/>
    <col min="7" max="7" width="16.109375" customWidth="1"/>
    <col min="8" max="8" width="16.33203125" customWidth="1"/>
    <col min="9" max="9" width="16.6640625" customWidth="1"/>
    <col min="10" max="10" width="16.5546875" customWidth="1"/>
    <col min="12" max="12" width="17.44140625" bestFit="1" customWidth="1"/>
  </cols>
  <sheetData>
    <row r="2" spans="2:14" x14ac:dyDescent="0.3">
      <c r="B2" s="37" t="s">
        <v>6</v>
      </c>
      <c r="C2" s="7" t="s">
        <v>7</v>
      </c>
      <c r="D2" s="7" t="s">
        <v>133</v>
      </c>
      <c r="E2" s="7" t="s">
        <v>134</v>
      </c>
      <c r="F2" s="7" t="s">
        <v>135</v>
      </c>
      <c r="G2" s="7" t="s">
        <v>136</v>
      </c>
      <c r="H2" s="7" t="s">
        <v>137</v>
      </c>
      <c r="I2" s="7" t="s">
        <v>138</v>
      </c>
      <c r="J2" s="8" t="s">
        <v>139</v>
      </c>
      <c r="L2" s="2" t="s">
        <v>141</v>
      </c>
      <c r="M2" s="2" t="s">
        <v>10</v>
      </c>
      <c r="N2" s="23">
        <f>AVERAGE(J23:J29)</f>
        <v>0.11152210056904331</v>
      </c>
    </row>
    <row r="3" spans="2:14" x14ac:dyDescent="0.3">
      <c r="B3" s="39">
        <v>2000</v>
      </c>
      <c r="C3" s="19">
        <v>1376.7954545454547</v>
      </c>
      <c r="D3" s="19">
        <v>22.143759999999993</v>
      </c>
      <c r="E3" s="19">
        <f>C3/D3</f>
        <v>62.175324088838352</v>
      </c>
      <c r="F3" s="60" t="s">
        <v>140</v>
      </c>
      <c r="G3" s="60" t="s">
        <v>140</v>
      </c>
      <c r="H3" s="60" t="s">
        <v>140</v>
      </c>
      <c r="I3" s="60" t="s">
        <v>140</v>
      </c>
      <c r="J3" s="61" t="s">
        <v>140</v>
      </c>
    </row>
    <row r="4" spans="2:14" x14ac:dyDescent="0.3">
      <c r="B4" s="39">
        <v>2001</v>
      </c>
      <c r="C4" s="19">
        <v>1117.575</v>
      </c>
      <c r="D4" s="19">
        <v>16.337258064516131</v>
      </c>
      <c r="E4" s="19">
        <f t="shared" ref="E4:E29" si="0">C4/D4</f>
        <v>68.406521803516597</v>
      </c>
      <c r="F4" s="60" t="s">
        <v>140</v>
      </c>
      <c r="G4" s="60" t="s">
        <v>140</v>
      </c>
      <c r="H4" s="60" t="s">
        <v>140</v>
      </c>
      <c r="I4" s="60" t="s">
        <v>140</v>
      </c>
      <c r="J4" s="61" t="s">
        <v>140</v>
      </c>
      <c r="L4" s="2" t="s">
        <v>141</v>
      </c>
      <c r="M4" s="2" t="s">
        <v>11</v>
      </c>
      <c r="N4" s="23">
        <f>AVERAGE(I18:I29)</f>
        <v>0.10136209964635196</v>
      </c>
    </row>
    <row r="5" spans="2:14" x14ac:dyDescent="0.3">
      <c r="B5" s="39">
        <v>2002</v>
      </c>
      <c r="C5" s="19">
        <v>1045.4833333333331</v>
      </c>
      <c r="D5" s="19">
        <v>16.087290836653384</v>
      </c>
      <c r="E5" s="19">
        <f t="shared" si="0"/>
        <v>64.988153937721904</v>
      </c>
      <c r="F5" s="60" t="s">
        <v>140</v>
      </c>
      <c r="G5" s="60" t="s">
        <v>140</v>
      </c>
      <c r="H5" s="60" t="s">
        <v>140</v>
      </c>
      <c r="I5" s="60" t="s">
        <v>140</v>
      </c>
      <c r="J5" s="61" t="s">
        <v>140</v>
      </c>
    </row>
    <row r="6" spans="2:14" x14ac:dyDescent="0.3">
      <c r="B6" s="39">
        <v>2003</v>
      </c>
      <c r="C6" s="19">
        <v>1264.0708333333332</v>
      </c>
      <c r="D6" s="19">
        <v>14.518307086614177</v>
      </c>
      <c r="E6" s="19">
        <f t="shared" si="0"/>
        <v>87.067371270773137</v>
      </c>
      <c r="F6" s="11">
        <f>_xlfn.RRI(3,E3,E6)</f>
        <v>0.11878282735675527</v>
      </c>
      <c r="G6" s="60" t="s">
        <v>140</v>
      </c>
      <c r="H6" s="60" t="s">
        <v>140</v>
      </c>
      <c r="I6" s="60" t="s">
        <v>140</v>
      </c>
      <c r="J6" s="61" t="s">
        <v>140</v>
      </c>
      <c r="L6" s="2" t="s">
        <v>141</v>
      </c>
      <c r="M6" s="2" t="s">
        <v>25</v>
      </c>
      <c r="N6" s="23">
        <f>AVERAGE(H13:H29)</f>
        <v>0.10306556050558735</v>
      </c>
    </row>
    <row r="7" spans="2:14" x14ac:dyDescent="0.3">
      <c r="B7" s="39">
        <v>2004</v>
      </c>
      <c r="C7" s="19">
        <v>1750.25</v>
      </c>
      <c r="D7" s="19">
        <v>16.302834645669293</v>
      </c>
      <c r="E7" s="19">
        <f t="shared" si="0"/>
        <v>107.35863044927213</v>
      </c>
      <c r="F7" s="11">
        <f t="shared" ref="F7:F29" si="1">_xlfn.RRI(3,E4,E7)</f>
        <v>0.16210798314855324</v>
      </c>
      <c r="G7" s="60" t="s">
        <v>140</v>
      </c>
      <c r="H7" s="60" t="s">
        <v>140</v>
      </c>
      <c r="I7" s="60" t="s">
        <v>140</v>
      </c>
      <c r="J7" s="61" t="s">
        <v>140</v>
      </c>
    </row>
    <row r="8" spans="2:14" x14ac:dyDescent="0.3">
      <c r="B8" s="39">
        <v>2005</v>
      </c>
      <c r="C8" s="19">
        <v>2297.1041666666665</v>
      </c>
      <c r="D8" s="19">
        <v>14.808326693227089</v>
      </c>
      <c r="E8" s="19">
        <f t="shared" si="0"/>
        <v>155.12246685625169</v>
      </c>
      <c r="F8" s="11">
        <f t="shared" si="1"/>
        <v>0.33643190159479075</v>
      </c>
      <c r="G8" s="11">
        <f>_xlfn.RRI(5,E3,E8)</f>
        <v>0.20063591103945955</v>
      </c>
      <c r="H8" s="60" t="s">
        <v>140</v>
      </c>
      <c r="I8" s="60" t="s">
        <v>140</v>
      </c>
      <c r="J8" s="61" t="s">
        <v>140</v>
      </c>
      <c r="L8" s="2" t="s">
        <v>141</v>
      </c>
      <c r="M8" s="2" t="s">
        <v>26</v>
      </c>
      <c r="N8" s="23">
        <f>AVERAGE(G8:G29)</f>
        <v>0.1257488385159386</v>
      </c>
    </row>
    <row r="9" spans="2:14" x14ac:dyDescent="0.3">
      <c r="B9" s="39">
        <v>2006</v>
      </c>
      <c r="C9" s="19">
        <v>3420.4749999999999</v>
      </c>
      <c r="D9" s="19">
        <v>19.17484</v>
      </c>
      <c r="E9" s="19">
        <f t="shared" si="0"/>
        <v>178.38349628992992</v>
      </c>
      <c r="F9" s="11">
        <f t="shared" si="1"/>
        <v>0.27008585637162441</v>
      </c>
      <c r="G9" s="11">
        <f t="shared" ref="G9:G29" si="2">_xlfn.RRI(5,E4,E9)</f>
        <v>0.21129920611185149</v>
      </c>
      <c r="H9" s="60" t="s">
        <v>140</v>
      </c>
      <c r="I9" s="60" t="s">
        <v>140</v>
      </c>
      <c r="J9" s="61" t="s">
        <v>140</v>
      </c>
    </row>
    <row r="10" spans="2:14" x14ac:dyDescent="0.3">
      <c r="B10" s="39">
        <v>2007</v>
      </c>
      <c r="C10" s="19">
        <v>4680.6458333333339</v>
      </c>
      <c r="D10" s="19">
        <v>21.3377108433735</v>
      </c>
      <c r="E10" s="19">
        <f t="shared" si="0"/>
        <v>219.36026163682524</v>
      </c>
      <c r="F10" s="11">
        <f t="shared" si="1"/>
        <v>0.26893778914791988</v>
      </c>
      <c r="G10" s="11">
        <f t="shared" si="2"/>
        <v>0.27545385563450431</v>
      </c>
      <c r="H10" s="60" t="s">
        <v>140</v>
      </c>
      <c r="I10" s="60" t="s">
        <v>140</v>
      </c>
      <c r="J10" s="61" t="s">
        <v>140</v>
      </c>
      <c r="L10" s="2" t="s">
        <v>141</v>
      </c>
      <c r="M10" s="2" t="s">
        <v>27</v>
      </c>
      <c r="N10" s="23">
        <f>AVERAGE(F6:F29)</f>
        <v>0.12897747251075234</v>
      </c>
    </row>
    <row r="11" spans="2:14" x14ac:dyDescent="0.3">
      <c r="B11" s="39">
        <v>2008</v>
      </c>
      <c r="C11" s="19">
        <v>4198.833333333333</v>
      </c>
      <c r="D11" s="19">
        <v>18.670000000000005</v>
      </c>
      <c r="E11" s="19">
        <f t="shared" si="0"/>
        <v>224.89733976075692</v>
      </c>
      <c r="F11" s="11">
        <f t="shared" si="1"/>
        <v>0.1318004751584656</v>
      </c>
      <c r="G11" s="11">
        <f t="shared" si="2"/>
        <v>0.20899854213825964</v>
      </c>
      <c r="H11" s="60" t="s">
        <v>140</v>
      </c>
      <c r="I11" s="60" t="s">
        <v>140</v>
      </c>
      <c r="J11" s="61" t="s">
        <v>140</v>
      </c>
    </row>
    <row r="12" spans="2:14" x14ac:dyDescent="0.3">
      <c r="B12" s="39">
        <v>2009</v>
      </c>
      <c r="C12" s="19">
        <v>4183.4458333333332</v>
      </c>
      <c r="D12" s="19">
        <v>18.711687242798348</v>
      </c>
      <c r="E12" s="19">
        <f t="shared" si="0"/>
        <v>223.57395028304757</v>
      </c>
      <c r="F12" s="11">
        <f t="shared" si="1"/>
        <v>7.8173970657531733E-2</v>
      </c>
      <c r="G12" s="11">
        <f t="shared" si="2"/>
        <v>0.15802209966830683</v>
      </c>
      <c r="H12" s="60" t="s">
        <v>140</v>
      </c>
      <c r="I12" s="60" t="s">
        <v>140</v>
      </c>
      <c r="J12" s="61" t="s">
        <v>140</v>
      </c>
    </row>
    <row r="13" spans="2:14" x14ac:dyDescent="0.3">
      <c r="B13" s="39">
        <v>2010</v>
      </c>
      <c r="C13" s="19">
        <v>5462.0916666666672</v>
      </c>
      <c r="D13" s="19">
        <v>22.889246031746044</v>
      </c>
      <c r="E13" s="19">
        <f t="shared" si="0"/>
        <v>238.63134937214909</v>
      </c>
      <c r="F13" s="11">
        <f t="shared" si="1"/>
        <v>2.8465782709432563E-2</v>
      </c>
      <c r="G13" s="11">
        <f t="shared" si="2"/>
        <v>8.9959996632940964E-2</v>
      </c>
      <c r="H13" s="11">
        <f>_xlfn.RRI(10,E3,E13)</f>
        <v>0.14396027621327723</v>
      </c>
      <c r="I13" s="60" t="s">
        <v>140</v>
      </c>
      <c r="J13" s="61" t="s">
        <v>140</v>
      </c>
    </row>
    <row r="14" spans="2:14" x14ac:dyDescent="0.3">
      <c r="B14" s="39">
        <v>2011</v>
      </c>
      <c r="C14" s="19">
        <v>5319.9291666666668</v>
      </c>
      <c r="D14" s="19">
        <v>19.79704453441294</v>
      </c>
      <c r="E14" s="19">
        <f t="shared" si="0"/>
        <v>268.72340249672646</v>
      </c>
      <c r="F14" s="11">
        <f t="shared" si="1"/>
        <v>6.1142536476900489E-2</v>
      </c>
      <c r="G14" s="11">
        <f t="shared" si="2"/>
        <v>8.540086562276894E-2</v>
      </c>
      <c r="H14" s="11">
        <f t="shared" ref="H14:H29" si="3">_xlfn.RRI(10,E4,E14)</f>
        <v>0.14662339363976717</v>
      </c>
      <c r="I14" s="60" t="s">
        <v>140</v>
      </c>
      <c r="J14" s="61" t="s">
        <v>140</v>
      </c>
    </row>
    <row r="15" spans="2:14" x14ac:dyDescent="0.3">
      <c r="B15" s="39">
        <v>2012</v>
      </c>
      <c r="C15" s="19">
        <v>5410.5625</v>
      </c>
      <c r="D15" s="19">
        <v>18.056892430278886</v>
      </c>
      <c r="E15" s="19">
        <f t="shared" si="0"/>
        <v>299.63973706390601</v>
      </c>
      <c r="F15" s="11">
        <f t="shared" si="1"/>
        <v>0.10253589007534591</v>
      </c>
      <c r="G15" s="11">
        <f t="shared" si="2"/>
        <v>6.4359376336524665E-2</v>
      </c>
      <c r="H15" s="11">
        <f t="shared" si="3"/>
        <v>0.16513573043193408</v>
      </c>
      <c r="I15" s="60" t="s">
        <v>140</v>
      </c>
      <c r="J15" s="61" t="s">
        <v>140</v>
      </c>
    </row>
    <row r="16" spans="2:14" x14ac:dyDescent="0.3">
      <c r="B16" s="39">
        <v>2013</v>
      </c>
      <c r="C16" s="19">
        <v>5908.0874999999987</v>
      </c>
      <c r="D16" s="19">
        <v>17.768719999999998</v>
      </c>
      <c r="E16" s="19">
        <f t="shared" si="0"/>
        <v>332.49933028377956</v>
      </c>
      <c r="F16" s="11">
        <f t="shared" si="1"/>
        <v>0.11691749241570859</v>
      </c>
      <c r="G16" s="11">
        <f t="shared" si="2"/>
        <v>8.1337567330796778E-2</v>
      </c>
      <c r="H16" s="11">
        <f t="shared" si="3"/>
        <v>0.14338774808122978</v>
      </c>
      <c r="I16" s="60" t="s">
        <v>140</v>
      </c>
      <c r="J16" s="61" t="s">
        <v>140</v>
      </c>
    </row>
    <row r="17" spans="2:10" x14ac:dyDescent="0.3">
      <c r="B17" s="39">
        <v>2014</v>
      </c>
      <c r="C17" s="19">
        <v>7453.4958333333334</v>
      </c>
      <c r="D17" s="19">
        <v>19.901844262295086</v>
      </c>
      <c r="E17" s="19">
        <f t="shared" si="0"/>
        <v>374.51282077683157</v>
      </c>
      <c r="F17" s="11">
        <f t="shared" si="1"/>
        <v>0.11700144070899365</v>
      </c>
      <c r="G17" s="11">
        <f t="shared" si="2"/>
        <v>0.10868736415111391</v>
      </c>
      <c r="H17" s="11">
        <f t="shared" si="3"/>
        <v>0.13308625854786249</v>
      </c>
      <c r="I17" s="60" t="s">
        <v>140</v>
      </c>
      <c r="J17" s="61" t="s">
        <v>140</v>
      </c>
    </row>
    <row r="18" spans="2:10" x14ac:dyDescent="0.3">
      <c r="B18" s="39">
        <v>2015</v>
      </c>
      <c r="C18" s="19">
        <v>8298.8208333333332</v>
      </c>
      <c r="D18" s="19">
        <v>22.434677419354824</v>
      </c>
      <c r="E18" s="19">
        <f t="shared" si="0"/>
        <v>369.91041494422302</v>
      </c>
      <c r="F18" s="11">
        <f t="shared" si="1"/>
        <v>7.2751302787209537E-2</v>
      </c>
      <c r="G18" s="11">
        <f t="shared" si="2"/>
        <v>9.1625852764487092E-2</v>
      </c>
      <c r="H18" s="11">
        <f t="shared" si="3"/>
        <v>9.0792606687271071E-2</v>
      </c>
      <c r="I18" s="11">
        <f>_xlfn.RRI(15,E3,E18)</f>
        <v>0.12624246941019557</v>
      </c>
      <c r="J18" s="61" t="s">
        <v>140</v>
      </c>
    </row>
    <row r="19" spans="2:10" x14ac:dyDescent="0.3">
      <c r="B19" s="39">
        <v>2016</v>
      </c>
      <c r="C19" s="19">
        <v>8138.2083333333348</v>
      </c>
      <c r="D19" s="19">
        <v>21.940323886639675</v>
      </c>
      <c r="E19" s="19">
        <f t="shared" si="0"/>
        <v>370.92471266064626</v>
      </c>
      <c r="F19" s="11">
        <f t="shared" si="1"/>
        <v>3.7126341094639637E-2</v>
      </c>
      <c r="G19" s="11">
        <f t="shared" si="2"/>
        <v>6.6586434676725537E-2</v>
      </c>
      <c r="H19" s="11">
        <f t="shared" si="3"/>
        <v>7.5952526582665048E-2</v>
      </c>
      <c r="I19" s="11">
        <f t="shared" ref="I19:I29" si="4">_xlfn.RRI(15,E4,E19)</f>
        <v>0.11929840271498993</v>
      </c>
      <c r="J19" s="61" t="s">
        <v>140</v>
      </c>
    </row>
    <row r="20" spans="2:10" x14ac:dyDescent="0.3">
      <c r="B20" s="39">
        <v>2017</v>
      </c>
      <c r="C20" s="19">
        <v>9661.4166666666679</v>
      </c>
      <c r="D20" s="19">
        <v>24.728266129032246</v>
      </c>
      <c r="E20" s="19">
        <f t="shared" si="0"/>
        <v>390.70336012453669</v>
      </c>
      <c r="F20" s="11">
        <f t="shared" si="1"/>
        <v>1.4207502538411632E-2</v>
      </c>
      <c r="G20" s="11">
        <f t="shared" si="2"/>
        <v>5.4507196150941351E-2</v>
      </c>
      <c r="H20" s="11">
        <f t="shared" si="3"/>
        <v>5.9421833660979972E-2</v>
      </c>
      <c r="I20" s="11">
        <f t="shared" si="4"/>
        <v>0.12702667792737832</v>
      </c>
      <c r="J20" s="61" t="s">
        <v>140</v>
      </c>
    </row>
    <row r="21" spans="2:10" x14ac:dyDescent="0.3">
      <c r="B21" s="39">
        <v>2018</v>
      </c>
      <c r="C21" s="19">
        <v>10826.45</v>
      </c>
      <c r="D21" s="19">
        <v>26.411951219512197</v>
      </c>
      <c r="E21" s="19">
        <f t="shared" si="0"/>
        <v>409.90723896240615</v>
      </c>
      <c r="F21" s="11">
        <f t="shared" si="1"/>
        <v>3.4815701183913417E-2</v>
      </c>
      <c r="G21" s="11">
        <f t="shared" si="2"/>
        <v>4.2747032605347401E-2</v>
      </c>
      <c r="H21" s="11">
        <f t="shared" si="3"/>
        <v>6.1867006540307523E-2</v>
      </c>
      <c r="I21" s="11">
        <f t="shared" si="4"/>
        <v>0.10880542902830581</v>
      </c>
      <c r="J21" s="61" t="s">
        <v>140</v>
      </c>
    </row>
    <row r="22" spans="2:10" x14ac:dyDescent="0.3">
      <c r="B22" s="39">
        <v>2019</v>
      </c>
      <c r="C22" s="19">
        <v>11535.4</v>
      </c>
      <c r="D22" s="19">
        <v>27.692979591836739</v>
      </c>
      <c r="E22" s="19">
        <f t="shared" si="0"/>
        <v>416.546004439348</v>
      </c>
      <c r="F22" s="11">
        <f t="shared" si="1"/>
        <v>3.942318871367978E-2</v>
      </c>
      <c r="G22" s="11">
        <f t="shared" si="2"/>
        <v>2.1502083292235241E-2</v>
      </c>
      <c r="H22" s="11">
        <f t="shared" si="3"/>
        <v>6.4202260944854483E-2</v>
      </c>
      <c r="I22" s="11">
        <f t="shared" si="4"/>
        <v>9.4599051194301564E-2</v>
      </c>
      <c r="J22" s="61" t="s">
        <v>140</v>
      </c>
    </row>
    <row r="23" spans="2:10" x14ac:dyDescent="0.3">
      <c r="B23" s="39">
        <v>2020</v>
      </c>
      <c r="C23" s="19">
        <v>11150.458333333334</v>
      </c>
      <c r="D23" s="19">
        <v>28.577619047619052</v>
      </c>
      <c r="E23" s="19">
        <f t="shared" si="0"/>
        <v>390.18150234115939</v>
      </c>
      <c r="F23" s="11">
        <f t="shared" si="1"/>
        <v>-4.454277043390853E-4</v>
      </c>
      <c r="G23" s="11">
        <f t="shared" si="2"/>
        <v>1.0727363342452945E-2</v>
      </c>
      <c r="H23" s="11">
        <f t="shared" si="3"/>
        <v>5.0398076883762633E-2</v>
      </c>
      <c r="I23" s="11">
        <f t="shared" si="4"/>
        <v>6.3423201972444998E-2</v>
      </c>
      <c r="J23" s="13">
        <f>_xlfn.RRI(20,E3,E23)</f>
        <v>9.6181405683313015E-2</v>
      </c>
    </row>
    <row r="24" spans="2:10" x14ac:dyDescent="0.3">
      <c r="B24" s="39">
        <v>2021</v>
      </c>
      <c r="C24" s="19">
        <v>15942.679166666669</v>
      </c>
      <c r="D24" s="19">
        <v>30.612620967741929</v>
      </c>
      <c r="E24" s="19">
        <f t="shared" si="0"/>
        <v>520.78778826113182</v>
      </c>
      <c r="F24" s="11">
        <f t="shared" si="1"/>
        <v>8.3074675733433967E-2</v>
      </c>
      <c r="G24" s="11">
        <f t="shared" si="2"/>
        <v>7.0224785460718975E-2</v>
      </c>
      <c r="H24" s="11">
        <f t="shared" si="3"/>
        <v>6.8404061311642339E-2</v>
      </c>
      <c r="I24" s="11">
        <f t="shared" si="4"/>
        <v>7.4039881582386391E-2</v>
      </c>
      <c r="J24" s="13">
        <f t="shared" ref="J24:J29" si="5">_xlfn.RRI(20,E4,E24)</f>
        <v>0.10682297164436605</v>
      </c>
    </row>
    <row r="25" spans="2:10" x14ac:dyDescent="0.3">
      <c r="B25" s="39">
        <v>2022</v>
      </c>
      <c r="C25" s="19">
        <v>17329.466666666664</v>
      </c>
      <c r="D25" s="19">
        <v>21.515725806451627</v>
      </c>
      <c r="E25" s="19">
        <f t="shared" si="0"/>
        <v>805.43258556819467</v>
      </c>
      <c r="F25" s="11">
        <f t="shared" si="1"/>
        <v>0.24582031277037242</v>
      </c>
      <c r="G25" s="11">
        <f t="shared" si="2"/>
        <v>0.15567683981313141</v>
      </c>
      <c r="H25" s="11">
        <f t="shared" si="3"/>
        <v>0.1039336683007388</v>
      </c>
      <c r="I25" s="11">
        <f t="shared" si="4"/>
        <v>9.0581390543764684E-2</v>
      </c>
      <c r="J25" s="13">
        <f t="shared" si="5"/>
        <v>0.13412193390480986</v>
      </c>
    </row>
    <row r="26" spans="2:10" x14ac:dyDescent="0.3">
      <c r="B26" s="39">
        <v>2023</v>
      </c>
      <c r="C26" s="19">
        <v>18975.362499999999</v>
      </c>
      <c r="D26" s="19">
        <v>21.705813008130079</v>
      </c>
      <c r="E26" s="19">
        <f t="shared" si="0"/>
        <v>874.2064852808154</v>
      </c>
      <c r="F26" s="11">
        <f t="shared" si="1"/>
        <v>0.30852627951851397</v>
      </c>
      <c r="G26" s="11">
        <f t="shared" si="2"/>
        <v>0.16355170580091749</v>
      </c>
      <c r="H26" s="11">
        <f t="shared" si="3"/>
        <v>0.10149447956256097</v>
      </c>
      <c r="I26" s="11">
        <f t="shared" si="4"/>
        <v>9.4734102162549627E-2</v>
      </c>
      <c r="J26" s="13">
        <f t="shared" si="5"/>
        <v>0.12224564713388064</v>
      </c>
    </row>
    <row r="27" spans="2:10" x14ac:dyDescent="0.3">
      <c r="B27" s="39">
        <v>2024</v>
      </c>
      <c r="C27" s="19">
        <v>23596.725000000002</v>
      </c>
      <c r="D27" s="19">
        <v>22.716144578313283</v>
      </c>
      <c r="E27" s="19">
        <f t="shared" si="0"/>
        <v>1038.7645191573306</v>
      </c>
      <c r="F27" s="11">
        <f t="shared" si="1"/>
        <v>0.25878658226870344</v>
      </c>
      <c r="G27" s="11">
        <f t="shared" si="2"/>
        <v>0.20052394537834917</v>
      </c>
      <c r="H27" s="11">
        <f t="shared" si="3"/>
        <v>0.10740133251057515</v>
      </c>
      <c r="I27" s="11">
        <f t="shared" si="4"/>
        <v>0.1078298438892813</v>
      </c>
      <c r="J27" s="13">
        <f t="shared" si="5"/>
        <v>0.12017018018037096</v>
      </c>
    </row>
    <row r="28" spans="2:10" x14ac:dyDescent="0.3">
      <c r="B28" s="39">
        <v>2025</v>
      </c>
      <c r="C28" s="19">
        <v>24634.612500000003</v>
      </c>
      <c r="D28" s="19">
        <v>21.877911646586341</v>
      </c>
      <c r="E28" s="19">
        <f t="shared" si="0"/>
        <v>1126.0038388464648</v>
      </c>
      <c r="F28" s="11">
        <f t="shared" si="1"/>
        <v>0.11815898617445875</v>
      </c>
      <c r="G28" s="11">
        <f t="shared" si="2"/>
        <v>0.23610293869074783</v>
      </c>
      <c r="H28" s="11">
        <f t="shared" si="3"/>
        <v>0.11774910603531996</v>
      </c>
      <c r="I28" s="11">
        <f t="shared" si="4"/>
        <v>0.10897262301652599</v>
      </c>
      <c r="J28" s="13">
        <f t="shared" si="5"/>
        <v>0.10418859847158068</v>
      </c>
    </row>
    <row r="29" spans="2:10" x14ac:dyDescent="0.3">
      <c r="B29" s="41">
        <v>2026</v>
      </c>
      <c r="C29" s="21">
        <v>24015.907142857144</v>
      </c>
      <c r="D29" s="21">
        <v>21.164782608695671</v>
      </c>
      <c r="E29" s="21">
        <f t="shared" si="0"/>
        <v>1134.7107875792719</v>
      </c>
      <c r="F29" s="16">
        <f t="shared" si="1"/>
        <v>9.0829949357037032E-2</v>
      </c>
      <c r="G29" s="16">
        <f t="shared" si="2"/>
        <v>0.16854348470806757</v>
      </c>
      <c r="H29" s="16">
        <f t="shared" si="3"/>
        <v>0.11830416266023636</v>
      </c>
      <c r="I29" s="16">
        <f t="shared" si="4"/>
        <v>0.10079212231409929</v>
      </c>
      <c r="J29" s="17">
        <f t="shared" si="5"/>
        <v>9.6923966964981956E-2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20"/>
  <sheetViews>
    <sheetView showGridLines="0" topLeftCell="B1" workbookViewId="0">
      <selection activeCell="J42" sqref="J42"/>
    </sheetView>
  </sheetViews>
  <sheetFormatPr defaultRowHeight="14.4" x14ac:dyDescent="0.3"/>
  <cols>
    <col min="1" max="1" width="2" customWidth="1"/>
    <col min="2" max="2" width="7.5546875" bestFit="1" customWidth="1"/>
    <col min="3" max="3" width="11.5546875" bestFit="1" customWidth="1"/>
    <col min="4" max="4" width="9.21875" bestFit="1" customWidth="1"/>
    <col min="5" max="5" width="14.88671875" bestFit="1" customWidth="1"/>
    <col min="9" max="9" width="18.33203125" bestFit="1" customWidth="1"/>
    <col min="10" max="10" width="14.109375" bestFit="1" customWidth="1"/>
    <col min="12" max="12" width="16.6640625" bestFit="1" customWidth="1"/>
  </cols>
  <sheetData>
    <row r="2" spans="2:14" x14ac:dyDescent="0.3">
      <c r="B2" s="6" t="s">
        <v>2</v>
      </c>
      <c r="C2" s="7" t="s">
        <v>4</v>
      </c>
      <c r="D2" s="7" t="s">
        <v>3</v>
      </c>
      <c r="E2" s="8" t="s">
        <v>5</v>
      </c>
      <c r="H2" s="6" t="s">
        <v>6</v>
      </c>
      <c r="I2" s="7" t="s">
        <v>7</v>
      </c>
      <c r="J2" s="8" t="s">
        <v>8</v>
      </c>
    </row>
    <row r="3" spans="2:14" x14ac:dyDescent="0.3">
      <c r="B3" s="9">
        <v>46029</v>
      </c>
      <c r="C3" s="10">
        <v>23869.599999999999</v>
      </c>
      <c r="D3" s="11">
        <v>2.0000000000000001E-4</v>
      </c>
      <c r="E3" s="12"/>
      <c r="H3" s="18">
        <v>2000</v>
      </c>
      <c r="I3" s="19">
        <f>AVERAGEIFS($C$3:$C$320,$B$3:$B$320,"&gt;="&amp;DATE(H3,1,1),$B$3:$B$320,"&lt;="&amp;DATE(H3,12,1))</f>
        <v>1376.7954545454547</v>
      </c>
      <c r="J3" s="12"/>
      <c r="L3" s="2" t="s">
        <v>9</v>
      </c>
      <c r="M3" s="2" t="s">
        <v>10</v>
      </c>
      <c r="N3" s="5">
        <f>_xlfn.RRI(20,I9,I29)</f>
        <v>0.10235284874490924</v>
      </c>
    </row>
    <row r="4" spans="2:14" x14ac:dyDescent="0.3">
      <c r="B4" s="9">
        <v>46028</v>
      </c>
      <c r="C4" s="10">
        <v>23865.75</v>
      </c>
      <c r="D4" s="11">
        <v>1.35E-2</v>
      </c>
      <c r="E4" s="13">
        <f>C4/C3-1</f>
        <v>-1.6129302543810287E-4</v>
      </c>
      <c r="H4" s="18">
        <f>H3+1</f>
        <v>2001</v>
      </c>
      <c r="I4" s="19">
        <f t="shared" ref="I4:I29" si="0">AVERAGEIFS($C$3:$C$320,$B$3:$B$320,"&gt;="&amp;DATE(H4,1,1),$B$3:$B$320,"&lt;="&amp;DATE(H4,12,1))</f>
        <v>1117.575</v>
      </c>
      <c r="J4" s="13">
        <f>I4/I3-1</f>
        <v>-0.18827811617887391</v>
      </c>
      <c r="L4" s="4"/>
      <c r="M4" s="4"/>
      <c r="N4" s="3"/>
    </row>
    <row r="5" spans="2:14" x14ac:dyDescent="0.3">
      <c r="B5" s="9">
        <v>46027</v>
      </c>
      <c r="C5" s="10">
        <v>23547.75</v>
      </c>
      <c r="D5" s="11">
        <v>-1.8700000000000001E-2</v>
      </c>
      <c r="E5" s="13">
        <f t="shared" ref="E5:E68" si="1">C5/C4-1</f>
        <v>-1.3324534112692854E-2</v>
      </c>
      <c r="H5" s="18">
        <f t="shared" ref="H5:H29" si="2">H4+1</f>
        <v>2002</v>
      </c>
      <c r="I5" s="19">
        <f t="shared" si="0"/>
        <v>1045.4833333333331</v>
      </c>
      <c r="J5" s="13">
        <f t="shared" ref="J5:J29" si="3">I5/I4-1</f>
        <v>-6.4507229194163185E-2</v>
      </c>
      <c r="L5" s="2" t="s">
        <v>9</v>
      </c>
      <c r="M5" s="2" t="s">
        <v>11</v>
      </c>
      <c r="N5" s="5">
        <f>_xlfn.RRI(15,I14,I29)</f>
        <v>0.10570568634900668</v>
      </c>
    </row>
    <row r="6" spans="2:14" x14ac:dyDescent="0.3">
      <c r="B6" s="9">
        <v>46026</v>
      </c>
      <c r="C6" s="10">
        <v>23997.55</v>
      </c>
      <c r="D6" s="11">
        <v>7.46E-2</v>
      </c>
      <c r="E6" s="13">
        <f t="shared" si="1"/>
        <v>1.9101612680616942E-2</v>
      </c>
      <c r="H6" s="18">
        <f t="shared" si="2"/>
        <v>2003</v>
      </c>
      <c r="I6" s="19">
        <f t="shared" si="0"/>
        <v>1264.0708333333332</v>
      </c>
      <c r="J6" s="13">
        <f t="shared" si="3"/>
        <v>0.20907793843357947</v>
      </c>
      <c r="L6" s="4"/>
      <c r="M6" s="4"/>
      <c r="N6" s="3"/>
    </row>
    <row r="7" spans="2:14" x14ac:dyDescent="0.3">
      <c r="B7" s="9">
        <v>46025</v>
      </c>
      <c r="C7" s="10">
        <v>22331.4</v>
      </c>
      <c r="D7" s="11">
        <v>-0.11310000000000001</v>
      </c>
      <c r="E7" s="13">
        <f t="shared" si="1"/>
        <v>-6.9430004312940219E-2</v>
      </c>
      <c r="H7" s="18">
        <f t="shared" si="2"/>
        <v>2004</v>
      </c>
      <c r="I7" s="19">
        <f t="shared" si="0"/>
        <v>1750.25</v>
      </c>
      <c r="J7" s="13">
        <f t="shared" si="3"/>
        <v>0.38461386327902258</v>
      </c>
      <c r="L7" s="2" t="s">
        <v>9</v>
      </c>
      <c r="M7" s="2" t="s">
        <v>12</v>
      </c>
      <c r="N7" s="5">
        <f>_xlfn.RRI(10,I19,I29)</f>
        <v>0.11428688570080126</v>
      </c>
    </row>
    <row r="8" spans="2:14" x14ac:dyDescent="0.3">
      <c r="B8" s="9">
        <v>46024</v>
      </c>
      <c r="C8" s="10">
        <v>25178.65</v>
      </c>
      <c r="D8" s="11">
        <v>-5.5999999999999999E-3</v>
      </c>
      <c r="E8" s="13">
        <f t="shared" si="1"/>
        <v>0.12749984327001451</v>
      </c>
      <c r="H8" s="18">
        <f t="shared" si="2"/>
        <v>2005</v>
      </c>
      <c r="I8" s="19">
        <f t="shared" si="0"/>
        <v>2297.1041666666665</v>
      </c>
      <c r="J8" s="13">
        <f t="shared" si="3"/>
        <v>0.31244346045802973</v>
      </c>
      <c r="L8" s="4"/>
      <c r="M8" s="4"/>
      <c r="N8" s="3"/>
    </row>
    <row r="9" spans="2:14" x14ac:dyDescent="0.3">
      <c r="B9" s="9">
        <v>46023</v>
      </c>
      <c r="C9" s="10">
        <v>25320.65</v>
      </c>
      <c r="D9" s="11">
        <v>-3.1E-2</v>
      </c>
      <c r="E9" s="13">
        <f t="shared" si="1"/>
        <v>5.6396987129969656E-3</v>
      </c>
      <c r="H9" s="18">
        <f t="shared" si="2"/>
        <v>2006</v>
      </c>
      <c r="I9" s="19">
        <f t="shared" si="0"/>
        <v>3420.4749999999999</v>
      </c>
      <c r="J9" s="13">
        <f t="shared" si="3"/>
        <v>0.48903782842528187</v>
      </c>
      <c r="L9" s="2" t="s">
        <v>9</v>
      </c>
      <c r="M9" s="2" t="s">
        <v>13</v>
      </c>
      <c r="N9" s="5">
        <f>_xlfn.RRI(5,I24,I29)</f>
        <v>8.5394303342838596E-2</v>
      </c>
    </row>
    <row r="10" spans="2:14" x14ac:dyDescent="0.3">
      <c r="B10" s="9">
        <v>45669</v>
      </c>
      <c r="C10" s="10">
        <v>26129.599999999999</v>
      </c>
      <c r="D10" s="11">
        <v>-2.8E-3</v>
      </c>
      <c r="E10" s="13">
        <f t="shared" si="1"/>
        <v>3.1948231976667074E-2</v>
      </c>
      <c r="H10" s="18">
        <f t="shared" si="2"/>
        <v>2007</v>
      </c>
      <c r="I10" s="19">
        <f t="shared" si="0"/>
        <v>4680.6458333333339</v>
      </c>
      <c r="J10" s="13">
        <f t="shared" si="3"/>
        <v>0.36841983447718052</v>
      </c>
      <c r="L10" s="4"/>
      <c r="M10" s="4"/>
      <c r="N10" s="3"/>
    </row>
    <row r="11" spans="2:14" x14ac:dyDescent="0.3">
      <c r="B11" s="9">
        <v>45668</v>
      </c>
      <c r="C11" s="10">
        <v>26202.95</v>
      </c>
      <c r="D11" s="11">
        <v>1.8700000000000001E-2</v>
      </c>
      <c r="E11" s="13">
        <f t="shared" si="1"/>
        <v>2.8071612271141078E-3</v>
      </c>
      <c r="H11" s="18">
        <f t="shared" si="2"/>
        <v>2008</v>
      </c>
      <c r="I11" s="19">
        <f t="shared" si="0"/>
        <v>4198.833333333333</v>
      </c>
      <c r="J11" s="13">
        <f t="shared" si="3"/>
        <v>-0.10293718370417204</v>
      </c>
      <c r="L11" s="2" t="s">
        <v>9</v>
      </c>
      <c r="M11" s="2" t="s">
        <v>14</v>
      </c>
      <c r="N11" s="5">
        <f>_xlfn.RRI(3,I26,I29)</f>
        <v>8.1690390316447203E-2</v>
      </c>
    </row>
    <row r="12" spans="2:14" x14ac:dyDescent="0.3">
      <c r="B12" s="9">
        <v>45667</v>
      </c>
      <c r="C12" s="10">
        <v>25722.1</v>
      </c>
      <c r="D12" s="11">
        <v>4.5100000000000001E-2</v>
      </c>
      <c r="E12" s="13">
        <f t="shared" si="1"/>
        <v>-1.835098719800643E-2</v>
      </c>
      <c r="H12" s="18">
        <f t="shared" si="2"/>
        <v>2009</v>
      </c>
      <c r="I12" s="19">
        <f t="shared" si="0"/>
        <v>4183.4458333333332</v>
      </c>
      <c r="J12" s="13">
        <f t="shared" si="3"/>
        <v>-3.6647084507600569E-3</v>
      </c>
    </row>
    <row r="13" spans="2:14" x14ac:dyDescent="0.3">
      <c r="B13" s="9">
        <v>45666</v>
      </c>
      <c r="C13" s="10">
        <v>24611.1</v>
      </c>
      <c r="D13" s="11">
        <v>7.4999999999999997E-3</v>
      </c>
      <c r="E13" s="13">
        <f t="shared" si="1"/>
        <v>-4.3192429856038217E-2</v>
      </c>
      <c r="H13" s="18">
        <f t="shared" si="2"/>
        <v>2010</v>
      </c>
      <c r="I13" s="19">
        <f t="shared" si="0"/>
        <v>5462.0916666666672</v>
      </c>
      <c r="J13" s="13">
        <f t="shared" si="3"/>
        <v>0.30564417092369056</v>
      </c>
    </row>
    <row r="14" spans="2:14" x14ac:dyDescent="0.3">
      <c r="B14" s="9">
        <v>45665</v>
      </c>
      <c r="C14" s="10">
        <v>24426.85</v>
      </c>
      <c r="D14" s="11">
        <v>-1.38E-2</v>
      </c>
      <c r="E14" s="13">
        <f t="shared" si="1"/>
        <v>-7.4864593618326758E-3</v>
      </c>
      <c r="H14" s="18">
        <f t="shared" si="2"/>
        <v>2011</v>
      </c>
      <c r="I14" s="19">
        <f t="shared" si="0"/>
        <v>5319.9291666666668</v>
      </c>
      <c r="J14" s="13">
        <f t="shared" si="3"/>
        <v>-2.602711720632056E-2</v>
      </c>
    </row>
    <row r="15" spans="2:14" x14ac:dyDescent="0.3">
      <c r="B15" s="9">
        <v>45664</v>
      </c>
      <c r="C15" s="10">
        <v>24768.35</v>
      </c>
      <c r="D15" s="11">
        <v>-2.93E-2</v>
      </c>
      <c r="E15" s="13">
        <f t="shared" si="1"/>
        <v>1.3980517340549392E-2</v>
      </c>
      <c r="H15" s="18">
        <f t="shared" si="2"/>
        <v>2012</v>
      </c>
      <c r="I15" s="19">
        <f t="shared" si="0"/>
        <v>5410.5625</v>
      </c>
      <c r="J15" s="13">
        <f t="shared" si="3"/>
        <v>1.7036567686129933E-2</v>
      </c>
    </row>
    <row r="16" spans="2:14" x14ac:dyDescent="0.3">
      <c r="B16" s="9">
        <v>45663</v>
      </c>
      <c r="C16" s="10">
        <v>25517.05</v>
      </c>
      <c r="D16" s="11">
        <v>3.1E-2</v>
      </c>
      <c r="E16" s="13">
        <f t="shared" si="1"/>
        <v>3.0228093514505394E-2</v>
      </c>
      <c r="H16" s="18">
        <f t="shared" si="2"/>
        <v>2013</v>
      </c>
      <c r="I16" s="19">
        <f t="shared" si="0"/>
        <v>5908.0874999999987</v>
      </c>
      <c r="J16" s="13">
        <f t="shared" si="3"/>
        <v>9.1954394760248803E-2</v>
      </c>
    </row>
    <row r="17" spans="2:10" x14ac:dyDescent="0.3">
      <c r="B17" s="9">
        <v>45662</v>
      </c>
      <c r="C17" s="10">
        <v>24750.7</v>
      </c>
      <c r="D17" s="11">
        <v>1.7100000000000001E-2</v>
      </c>
      <c r="E17" s="13">
        <f t="shared" si="1"/>
        <v>-3.0032860381587922E-2</v>
      </c>
      <c r="H17" s="18">
        <f t="shared" si="2"/>
        <v>2014</v>
      </c>
      <c r="I17" s="19">
        <f t="shared" si="0"/>
        <v>7453.4958333333334</v>
      </c>
      <c r="J17" s="13">
        <f t="shared" si="3"/>
        <v>0.26157505848268747</v>
      </c>
    </row>
    <row r="18" spans="2:10" x14ac:dyDescent="0.3">
      <c r="B18" s="9">
        <v>45661</v>
      </c>
      <c r="C18" s="10">
        <v>24334.2</v>
      </c>
      <c r="D18" s="11">
        <v>3.4599999999999999E-2</v>
      </c>
      <c r="E18" s="13">
        <f t="shared" si="1"/>
        <v>-1.682780689031016E-2</v>
      </c>
      <c r="H18" s="18">
        <f t="shared" si="2"/>
        <v>2015</v>
      </c>
      <c r="I18" s="19">
        <f t="shared" si="0"/>
        <v>8298.8208333333332</v>
      </c>
      <c r="J18" s="13">
        <f t="shared" si="3"/>
        <v>0.11341322500236184</v>
      </c>
    </row>
    <row r="19" spans="2:10" x14ac:dyDescent="0.3">
      <c r="B19" s="9">
        <v>45660</v>
      </c>
      <c r="C19" s="10">
        <v>23519.35</v>
      </c>
      <c r="D19" s="11">
        <v>6.3E-2</v>
      </c>
      <c r="E19" s="13">
        <f t="shared" si="1"/>
        <v>-3.3485793656664375E-2</v>
      </c>
      <c r="H19" s="18">
        <f t="shared" si="2"/>
        <v>2016</v>
      </c>
      <c r="I19" s="19">
        <f t="shared" si="0"/>
        <v>8138.2083333333348</v>
      </c>
      <c r="J19" s="13">
        <f t="shared" si="3"/>
        <v>-1.9353653154539296E-2</v>
      </c>
    </row>
    <row r="20" spans="2:10" x14ac:dyDescent="0.3">
      <c r="B20" s="9">
        <v>45659</v>
      </c>
      <c r="C20" s="10">
        <v>22124.7</v>
      </c>
      <c r="D20" s="11">
        <v>-5.8900000000000001E-2</v>
      </c>
      <c r="E20" s="13">
        <f t="shared" si="1"/>
        <v>-5.9297982299680863E-2</v>
      </c>
      <c r="H20" s="18">
        <f t="shared" si="2"/>
        <v>2017</v>
      </c>
      <c r="I20" s="19">
        <f t="shared" si="0"/>
        <v>9661.4166666666679</v>
      </c>
      <c r="J20" s="13">
        <f t="shared" si="3"/>
        <v>0.18716752766016254</v>
      </c>
    </row>
    <row r="21" spans="2:10" x14ac:dyDescent="0.3">
      <c r="B21" s="9">
        <v>45658</v>
      </c>
      <c r="C21" s="10">
        <v>23508.400000000001</v>
      </c>
      <c r="D21" s="11">
        <v>-5.7999999999999996E-3</v>
      </c>
      <c r="E21" s="13">
        <f t="shared" si="1"/>
        <v>6.2540961007380824E-2</v>
      </c>
      <c r="H21" s="18">
        <f t="shared" si="2"/>
        <v>2018</v>
      </c>
      <c r="I21" s="19">
        <f t="shared" si="0"/>
        <v>10826.45</v>
      </c>
      <c r="J21" s="13">
        <f t="shared" si="3"/>
        <v>0.1205861804255759</v>
      </c>
    </row>
    <row r="22" spans="2:10" x14ac:dyDescent="0.3">
      <c r="B22" s="9">
        <v>45303</v>
      </c>
      <c r="C22" s="10">
        <v>23644.799999999999</v>
      </c>
      <c r="D22" s="11">
        <v>-2.0199999999999999E-2</v>
      </c>
      <c r="E22" s="13">
        <f t="shared" si="1"/>
        <v>5.8021813479436357E-3</v>
      </c>
      <c r="H22" s="18">
        <f t="shared" si="2"/>
        <v>2019</v>
      </c>
      <c r="I22" s="19">
        <f t="shared" si="0"/>
        <v>11535.4</v>
      </c>
      <c r="J22" s="13">
        <f t="shared" si="3"/>
        <v>6.5483145444720892E-2</v>
      </c>
    </row>
    <row r="23" spans="2:10" x14ac:dyDescent="0.3">
      <c r="B23" s="9">
        <v>45302</v>
      </c>
      <c r="C23" s="10">
        <v>24131.1</v>
      </c>
      <c r="D23" s="11">
        <v>-3.0999999999999999E-3</v>
      </c>
      <c r="E23" s="13">
        <f t="shared" si="1"/>
        <v>2.0566889971579405E-2</v>
      </c>
      <c r="H23" s="18">
        <f t="shared" si="2"/>
        <v>2020</v>
      </c>
      <c r="I23" s="19">
        <f t="shared" si="0"/>
        <v>11150.458333333334</v>
      </c>
      <c r="J23" s="13">
        <f t="shared" si="3"/>
        <v>-3.3370465407932648E-2</v>
      </c>
    </row>
    <row r="24" spans="2:10" x14ac:dyDescent="0.3">
      <c r="B24" s="9">
        <v>45301</v>
      </c>
      <c r="C24" s="10">
        <v>24205.35</v>
      </c>
      <c r="D24" s="11">
        <v>-6.2199999999999998E-2</v>
      </c>
      <c r="E24" s="13">
        <f t="shared" si="1"/>
        <v>3.0769422032148608E-3</v>
      </c>
      <c r="H24" s="18">
        <f t="shared" si="2"/>
        <v>2021</v>
      </c>
      <c r="I24" s="19">
        <f t="shared" si="0"/>
        <v>15942.679166666669</v>
      </c>
      <c r="J24" s="13">
        <f t="shared" si="3"/>
        <v>0.42977792392689396</v>
      </c>
    </row>
    <row r="25" spans="2:10" x14ac:dyDescent="0.3">
      <c r="B25" s="9">
        <v>45300</v>
      </c>
      <c r="C25" s="10">
        <v>25810.85</v>
      </c>
      <c r="D25" s="11">
        <v>2.2800000000000001E-2</v>
      </c>
      <c r="E25" s="13">
        <f t="shared" si="1"/>
        <v>6.6328311716211452E-2</v>
      </c>
      <c r="H25" s="18">
        <f t="shared" si="2"/>
        <v>2022</v>
      </c>
      <c r="I25" s="19">
        <f t="shared" si="0"/>
        <v>17329.466666666664</v>
      </c>
      <c r="J25" s="13">
        <f t="shared" si="3"/>
        <v>8.6985850088454608E-2</v>
      </c>
    </row>
    <row r="26" spans="2:10" x14ac:dyDescent="0.3">
      <c r="B26" s="9">
        <v>45299</v>
      </c>
      <c r="C26" s="10">
        <v>25235.9</v>
      </c>
      <c r="D26" s="11">
        <v>1.14E-2</v>
      </c>
      <c r="E26" s="13">
        <f t="shared" si="1"/>
        <v>-2.2275515916755806E-2</v>
      </c>
      <c r="H26" s="18">
        <f t="shared" si="2"/>
        <v>2023</v>
      </c>
      <c r="I26" s="19">
        <f t="shared" si="0"/>
        <v>18975.362499999999</v>
      </c>
      <c r="J26" s="13">
        <f t="shared" si="3"/>
        <v>9.4976715959714353E-2</v>
      </c>
    </row>
    <row r="27" spans="2:10" x14ac:dyDescent="0.3">
      <c r="B27" s="9">
        <v>45298</v>
      </c>
      <c r="C27" s="10">
        <v>24951.15</v>
      </c>
      <c r="D27" s="11">
        <v>3.9199999999999999E-2</v>
      </c>
      <c r="E27" s="13">
        <f t="shared" si="1"/>
        <v>-1.1283528623904804E-2</v>
      </c>
      <c r="H27" s="18">
        <f t="shared" si="2"/>
        <v>2024</v>
      </c>
      <c r="I27" s="19">
        <f t="shared" si="0"/>
        <v>23596.725000000002</v>
      </c>
      <c r="J27" s="13">
        <f t="shared" si="3"/>
        <v>0.24354541316404377</v>
      </c>
    </row>
    <row r="28" spans="2:10" x14ac:dyDescent="0.3">
      <c r="B28" s="9">
        <v>45297</v>
      </c>
      <c r="C28" s="10">
        <v>24010.6</v>
      </c>
      <c r="D28" s="11">
        <v>6.5699999999999995E-2</v>
      </c>
      <c r="E28" s="13">
        <f t="shared" si="1"/>
        <v>-3.7695657314392395E-2</v>
      </c>
      <c r="H28" s="18">
        <f t="shared" si="2"/>
        <v>2025</v>
      </c>
      <c r="I28" s="19">
        <f t="shared" si="0"/>
        <v>24634.612500000003</v>
      </c>
      <c r="J28" s="13">
        <f t="shared" si="3"/>
        <v>4.3984387663966062E-2</v>
      </c>
    </row>
    <row r="29" spans="2:10" x14ac:dyDescent="0.3">
      <c r="B29" s="9">
        <v>45296</v>
      </c>
      <c r="C29" s="10">
        <v>22530.7</v>
      </c>
      <c r="D29" s="11">
        <v>-3.3E-3</v>
      </c>
      <c r="E29" s="13">
        <f t="shared" si="1"/>
        <v>-6.1635277752326023E-2</v>
      </c>
      <c r="H29" s="20">
        <f t="shared" si="2"/>
        <v>2026</v>
      </c>
      <c r="I29" s="21">
        <f t="shared" si="0"/>
        <v>24015.907142857144</v>
      </c>
      <c r="J29" s="17">
        <f t="shared" si="3"/>
        <v>-2.5115286759345601E-2</v>
      </c>
    </row>
    <row r="30" spans="2:10" x14ac:dyDescent="0.3">
      <c r="B30" s="9">
        <v>45295</v>
      </c>
      <c r="C30" s="10">
        <v>22604.85</v>
      </c>
      <c r="D30" s="11">
        <v>1.24E-2</v>
      </c>
      <c r="E30" s="13">
        <f t="shared" si="1"/>
        <v>3.2910650800905827E-3</v>
      </c>
    </row>
    <row r="31" spans="2:10" x14ac:dyDescent="0.3">
      <c r="B31" s="9">
        <v>45294</v>
      </c>
      <c r="C31" s="10">
        <v>22326.9</v>
      </c>
      <c r="D31" s="11">
        <v>1.5699999999999999E-2</v>
      </c>
      <c r="E31" s="13">
        <f t="shared" si="1"/>
        <v>-1.2296033815751839E-2</v>
      </c>
      <c r="J31" s="22"/>
    </row>
    <row r="32" spans="2:10" x14ac:dyDescent="0.3">
      <c r="B32" s="9">
        <v>45293</v>
      </c>
      <c r="C32" s="10">
        <v>21982.799999999999</v>
      </c>
      <c r="D32" s="11">
        <v>1.18E-2</v>
      </c>
      <c r="E32" s="13">
        <f t="shared" si="1"/>
        <v>-1.5411902234524377E-2</v>
      </c>
    </row>
    <row r="33" spans="2:8" x14ac:dyDescent="0.3">
      <c r="B33" s="9">
        <v>45292</v>
      </c>
      <c r="C33" s="10">
        <v>21725.7</v>
      </c>
      <c r="D33" s="11">
        <v>-2.9999999999999997E-4</v>
      </c>
      <c r="E33" s="13">
        <f t="shared" si="1"/>
        <v>-1.1695507396691895E-2</v>
      </c>
    </row>
    <row r="34" spans="2:8" x14ac:dyDescent="0.3">
      <c r="B34" s="9">
        <v>44938</v>
      </c>
      <c r="C34" s="10">
        <v>21731.4</v>
      </c>
      <c r="D34" s="11">
        <v>7.9399999999999998E-2</v>
      </c>
      <c r="E34" s="13">
        <f t="shared" si="1"/>
        <v>2.6236208729746302E-4</v>
      </c>
      <c r="H34" s="24" t="s">
        <v>15</v>
      </c>
    </row>
    <row r="35" spans="2:8" x14ac:dyDescent="0.3">
      <c r="B35" s="9">
        <v>44937</v>
      </c>
      <c r="C35" s="10">
        <v>20133.150000000001</v>
      </c>
      <c r="D35" s="11">
        <v>5.5199999999999999E-2</v>
      </c>
      <c r="E35" s="13">
        <f t="shared" si="1"/>
        <v>-7.3545652834147823E-2</v>
      </c>
    </row>
    <row r="36" spans="2:8" x14ac:dyDescent="0.3">
      <c r="B36" s="9">
        <v>44936</v>
      </c>
      <c r="C36" s="10">
        <v>19079.599999999999</v>
      </c>
      <c r="D36" s="11">
        <v>-2.8400000000000002E-2</v>
      </c>
      <c r="E36" s="13">
        <f t="shared" si="1"/>
        <v>-5.2329118890983461E-2</v>
      </c>
    </row>
    <row r="37" spans="2:8" x14ac:dyDescent="0.3">
      <c r="B37" s="9">
        <v>44935</v>
      </c>
      <c r="C37" s="10">
        <v>19638.3</v>
      </c>
      <c r="D37" s="11">
        <v>0.02</v>
      </c>
      <c r="E37" s="13">
        <f t="shared" si="1"/>
        <v>2.9282584540556433E-2</v>
      </c>
    </row>
    <row r="38" spans="2:8" x14ac:dyDescent="0.3">
      <c r="B38" s="9">
        <v>44934</v>
      </c>
      <c r="C38" s="10">
        <v>19253.8</v>
      </c>
      <c r="D38" s="11">
        <v>-2.53E-2</v>
      </c>
      <c r="E38" s="13">
        <f t="shared" si="1"/>
        <v>-1.9579087802915729E-2</v>
      </c>
    </row>
    <row r="39" spans="2:8" x14ac:dyDescent="0.3">
      <c r="B39" s="9">
        <v>44933</v>
      </c>
      <c r="C39" s="10">
        <v>19753.8</v>
      </c>
      <c r="D39" s="11">
        <v>2.9399999999999999E-2</v>
      </c>
      <c r="E39" s="13">
        <f t="shared" si="1"/>
        <v>2.5968899645784305E-2</v>
      </c>
    </row>
    <row r="40" spans="2:8" x14ac:dyDescent="0.3">
      <c r="B40" s="9">
        <v>44932</v>
      </c>
      <c r="C40" s="10">
        <v>19189.05</v>
      </c>
      <c r="D40" s="11">
        <v>3.5299999999999998E-2</v>
      </c>
      <c r="E40" s="13">
        <f t="shared" si="1"/>
        <v>-2.8589435956626108E-2</v>
      </c>
    </row>
    <row r="41" spans="2:8" x14ac:dyDescent="0.3">
      <c r="B41" s="9">
        <v>44931</v>
      </c>
      <c r="C41" s="10">
        <v>18534.400000000001</v>
      </c>
      <c r="D41" s="11">
        <v>2.5999999999999999E-2</v>
      </c>
      <c r="E41" s="13">
        <f t="shared" si="1"/>
        <v>-3.4115810840036231E-2</v>
      </c>
    </row>
    <row r="42" spans="2:8" x14ac:dyDescent="0.3">
      <c r="B42" s="9">
        <v>44930</v>
      </c>
      <c r="C42" s="10">
        <v>18065</v>
      </c>
      <c r="D42" s="11">
        <v>4.0599999999999997E-2</v>
      </c>
      <c r="E42" s="13">
        <f t="shared" si="1"/>
        <v>-2.5325880524861955E-2</v>
      </c>
    </row>
    <row r="43" spans="2:8" x14ac:dyDescent="0.3">
      <c r="B43" s="9">
        <v>44929</v>
      </c>
      <c r="C43" s="10">
        <v>17359.75</v>
      </c>
      <c r="D43" s="11">
        <v>3.2000000000000002E-3</v>
      </c>
      <c r="E43" s="13">
        <f t="shared" si="1"/>
        <v>-3.9039579296983096E-2</v>
      </c>
    </row>
    <row r="44" spans="2:8" x14ac:dyDescent="0.3">
      <c r="B44" s="9">
        <v>44928</v>
      </c>
      <c r="C44" s="10">
        <v>17303.95</v>
      </c>
      <c r="D44" s="11">
        <v>-2.0299999999999999E-2</v>
      </c>
      <c r="E44" s="13">
        <f t="shared" si="1"/>
        <v>-3.2143320036290834E-3</v>
      </c>
    </row>
    <row r="45" spans="2:8" x14ac:dyDescent="0.3">
      <c r="B45" s="9">
        <v>44927</v>
      </c>
      <c r="C45" s="10">
        <v>17662.150000000001</v>
      </c>
      <c r="D45" s="11">
        <v>-2.4500000000000001E-2</v>
      </c>
      <c r="E45" s="13">
        <f t="shared" si="1"/>
        <v>2.0700475902900806E-2</v>
      </c>
    </row>
    <row r="46" spans="2:8" x14ac:dyDescent="0.3">
      <c r="B46" s="9">
        <v>44573</v>
      </c>
      <c r="C46" s="10">
        <v>18105.3</v>
      </c>
      <c r="D46" s="11">
        <v>-3.4799999999999998E-2</v>
      </c>
      <c r="E46" s="13">
        <f t="shared" si="1"/>
        <v>2.5090376879371767E-2</v>
      </c>
    </row>
    <row r="47" spans="2:8" x14ac:dyDescent="0.3">
      <c r="B47" s="9">
        <v>44572</v>
      </c>
      <c r="C47" s="10">
        <v>18758.349999999999</v>
      </c>
      <c r="D47" s="11">
        <v>4.1399999999999999E-2</v>
      </c>
      <c r="E47" s="13">
        <f t="shared" si="1"/>
        <v>3.6069548695685683E-2</v>
      </c>
    </row>
    <row r="48" spans="2:8" x14ac:dyDescent="0.3">
      <c r="B48" s="9">
        <v>44571</v>
      </c>
      <c r="C48" s="10">
        <v>18012.2</v>
      </c>
      <c r="D48" s="11">
        <v>5.3699999999999998E-2</v>
      </c>
      <c r="E48" s="13">
        <f t="shared" si="1"/>
        <v>-3.9776952663746923E-2</v>
      </c>
    </row>
    <row r="49" spans="2:5" x14ac:dyDescent="0.3">
      <c r="B49" s="9">
        <v>44570</v>
      </c>
      <c r="C49" s="10">
        <v>17094.349999999999</v>
      </c>
      <c r="D49" s="11">
        <v>-3.7400000000000003E-2</v>
      </c>
      <c r="E49" s="13">
        <f t="shared" si="1"/>
        <v>-5.0957129056972583E-2</v>
      </c>
    </row>
    <row r="50" spans="2:5" x14ac:dyDescent="0.3">
      <c r="B50" s="9">
        <v>44569</v>
      </c>
      <c r="C50" s="10">
        <v>17759.3</v>
      </c>
      <c r="D50" s="11">
        <v>3.5000000000000003E-2</v>
      </c>
      <c r="E50" s="13">
        <f t="shared" si="1"/>
        <v>3.8898817445530254E-2</v>
      </c>
    </row>
    <row r="51" spans="2:5" x14ac:dyDescent="0.3">
      <c r="B51" s="9">
        <v>44568</v>
      </c>
      <c r="C51" s="10">
        <v>17158.25</v>
      </c>
      <c r="D51" s="11">
        <v>8.7300000000000003E-2</v>
      </c>
      <c r="E51" s="13">
        <f t="shared" si="1"/>
        <v>-3.3844239356280892E-2</v>
      </c>
    </row>
    <row r="52" spans="2:5" x14ac:dyDescent="0.3">
      <c r="B52" s="9">
        <v>44567</v>
      </c>
      <c r="C52" s="10">
        <v>15780.25</v>
      </c>
      <c r="D52" s="11">
        <v>-4.8500000000000001E-2</v>
      </c>
      <c r="E52" s="13">
        <f t="shared" si="1"/>
        <v>-8.0311220549881268E-2</v>
      </c>
    </row>
    <row r="53" spans="2:5" x14ac:dyDescent="0.3">
      <c r="B53" s="9">
        <v>44566</v>
      </c>
      <c r="C53" s="10">
        <v>16584.55</v>
      </c>
      <c r="D53" s="11">
        <v>-3.0300000000000001E-2</v>
      </c>
      <c r="E53" s="13">
        <f t="shared" si="1"/>
        <v>5.0968774258962846E-2</v>
      </c>
    </row>
    <row r="54" spans="2:5" x14ac:dyDescent="0.3">
      <c r="B54" s="9">
        <v>44565</v>
      </c>
      <c r="C54" s="10">
        <v>17102.55</v>
      </c>
      <c r="D54" s="11">
        <v>-2.07E-2</v>
      </c>
      <c r="E54" s="13">
        <f t="shared" si="1"/>
        <v>3.1233889372940471E-2</v>
      </c>
    </row>
    <row r="55" spans="2:5" x14ac:dyDescent="0.3">
      <c r="B55" s="9">
        <v>44564</v>
      </c>
      <c r="C55" s="10">
        <v>17464.75</v>
      </c>
      <c r="D55" s="11">
        <v>3.9899999999999998E-2</v>
      </c>
      <c r="E55" s="13">
        <f t="shared" si="1"/>
        <v>2.1178128407752128E-2</v>
      </c>
    </row>
    <row r="56" spans="2:5" x14ac:dyDescent="0.3">
      <c r="B56" s="9">
        <v>44563</v>
      </c>
      <c r="C56" s="10">
        <v>16793.900000000001</v>
      </c>
      <c r="D56" s="11">
        <v>-3.15E-2</v>
      </c>
      <c r="E56" s="13">
        <f t="shared" si="1"/>
        <v>-3.841165776778932E-2</v>
      </c>
    </row>
    <row r="57" spans="2:5" x14ac:dyDescent="0.3">
      <c r="B57" s="9">
        <v>44562</v>
      </c>
      <c r="C57" s="10">
        <v>17339.849999999999</v>
      </c>
      <c r="D57" s="11">
        <v>-8.0000000000000004E-4</v>
      </c>
      <c r="E57" s="13">
        <f t="shared" si="1"/>
        <v>3.2508827610024937E-2</v>
      </c>
    </row>
    <row r="58" spans="2:5" x14ac:dyDescent="0.3">
      <c r="B58" s="9">
        <v>44208</v>
      </c>
      <c r="C58" s="10">
        <v>17354.05</v>
      </c>
      <c r="D58" s="11">
        <v>2.18E-2</v>
      </c>
      <c r="E58" s="13">
        <f t="shared" si="1"/>
        <v>8.189228857227171E-4</v>
      </c>
    </row>
    <row r="59" spans="2:5" x14ac:dyDescent="0.3">
      <c r="B59" s="9">
        <v>44207</v>
      </c>
      <c r="C59" s="10">
        <v>16983.2</v>
      </c>
      <c r="D59" s="11">
        <v>-3.9E-2</v>
      </c>
      <c r="E59" s="13">
        <f t="shared" si="1"/>
        <v>-2.1369651464643646E-2</v>
      </c>
    </row>
    <row r="60" spans="2:5" x14ac:dyDescent="0.3">
      <c r="B60" s="9">
        <v>44206</v>
      </c>
      <c r="C60" s="10">
        <v>17671.650000000001</v>
      </c>
      <c r="D60" s="11">
        <v>3.0000000000000001E-3</v>
      </c>
      <c r="E60" s="13">
        <f t="shared" si="1"/>
        <v>4.0537119035281899E-2</v>
      </c>
    </row>
    <row r="61" spans="2:5" x14ac:dyDescent="0.3">
      <c r="B61" s="9">
        <v>44205</v>
      </c>
      <c r="C61" s="10">
        <v>17618.150000000001</v>
      </c>
      <c r="D61" s="11">
        <v>2.8400000000000002E-2</v>
      </c>
      <c r="E61" s="13">
        <f t="shared" si="1"/>
        <v>-3.0274479179929203E-3</v>
      </c>
    </row>
    <row r="62" spans="2:5" x14ac:dyDescent="0.3">
      <c r="B62" s="9">
        <v>44204</v>
      </c>
      <c r="C62" s="10">
        <v>17132.2</v>
      </c>
      <c r="D62" s="11">
        <v>8.6900000000000005E-2</v>
      </c>
      <c r="E62" s="13">
        <f t="shared" si="1"/>
        <v>-2.7582351154917029E-2</v>
      </c>
    </row>
    <row r="63" spans="2:5" x14ac:dyDescent="0.3">
      <c r="B63" s="9">
        <v>44203</v>
      </c>
      <c r="C63" s="10">
        <v>15763.05</v>
      </c>
      <c r="D63" s="11">
        <v>2.5999999999999999E-3</v>
      </c>
      <c r="E63" s="13">
        <f t="shared" si="1"/>
        <v>-7.9916764922193351E-2</v>
      </c>
    </row>
    <row r="64" spans="2:5" x14ac:dyDescent="0.3">
      <c r="B64" s="9">
        <v>44202</v>
      </c>
      <c r="C64" s="10">
        <v>15721.5</v>
      </c>
      <c r="D64" s="11">
        <v>8.8999999999999999E-3</v>
      </c>
      <c r="E64" s="13">
        <f t="shared" si="1"/>
        <v>-2.6359111973888183E-3</v>
      </c>
    </row>
    <row r="65" spans="2:5" x14ac:dyDescent="0.3">
      <c r="B65" s="9">
        <v>44201</v>
      </c>
      <c r="C65" s="10">
        <v>15582.8</v>
      </c>
      <c r="D65" s="11">
        <v>6.5000000000000002E-2</v>
      </c>
      <c r="E65" s="13">
        <f t="shared" si="1"/>
        <v>-8.8223133924880681E-3</v>
      </c>
    </row>
    <row r="66" spans="2:5" x14ac:dyDescent="0.3">
      <c r="B66" s="9">
        <v>44200</v>
      </c>
      <c r="C66" s="10">
        <v>14631.1</v>
      </c>
      <c r="D66" s="11">
        <v>-4.1000000000000003E-3</v>
      </c>
      <c r="E66" s="13">
        <f t="shared" si="1"/>
        <v>-6.1073747978540371E-2</v>
      </c>
    </row>
    <row r="67" spans="2:5" x14ac:dyDescent="0.3">
      <c r="B67" s="9">
        <v>44199</v>
      </c>
      <c r="C67" s="10">
        <v>14690.7</v>
      </c>
      <c r="D67" s="11">
        <v>1.11E-2</v>
      </c>
      <c r="E67" s="13">
        <f t="shared" si="1"/>
        <v>4.0735146366301933E-3</v>
      </c>
    </row>
    <row r="68" spans="2:5" x14ac:dyDescent="0.3">
      <c r="B68" s="9">
        <v>44198</v>
      </c>
      <c r="C68" s="10">
        <v>14529.15</v>
      </c>
      <c r="D68" s="11">
        <v>6.5600000000000006E-2</v>
      </c>
      <c r="E68" s="13">
        <f t="shared" si="1"/>
        <v>-1.0996753047846641E-2</v>
      </c>
    </row>
    <row r="69" spans="2:5" x14ac:dyDescent="0.3">
      <c r="B69" s="9">
        <v>44197</v>
      </c>
      <c r="C69" s="10">
        <v>13634.6</v>
      </c>
      <c r="D69" s="11">
        <v>-2.4799999999999999E-2</v>
      </c>
      <c r="E69" s="13">
        <f t="shared" ref="E69:E132" si="4">C69/C68-1</f>
        <v>-6.156932786845748E-2</v>
      </c>
    </row>
    <row r="70" spans="2:5" x14ac:dyDescent="0.3">
      <c r="B70" s="9">
        <v>43842</v>
      </c>
      <c r="C70" s="10">
        <v>13981.75</v>
      </c>
      <c r="D70" s="11">
        <v>7.8100000000000003E-2</v>
      </c>
      <c r="E70" s="13">
        <f t="shared" si="4"/>
        <v>2.5460959617443768E-2</v>
      </c>
    </row>
    <row r="71" spans="2:5" x14ac:dyDescent="0.3">
      <c r="B71" s="9">
        <v>43841</v>
      </c>
      <c r="C71" s="10">
        <v>12968.95</v>
      </c>
      <c r="D71" s="11">
        <v>0.1139</v>
      </c>
      <c r="E71" s="13">
        <f t="shared" si="4"/>
        <v>-7.2437284317056094E-2</v>
      </c>
    </row>
    <row r="72" spans="2:5" x14ac:dyDescent="0.3">
      <c r="B72" s="9">
        <v>43840</v>
      </c>
      <c r="C72" s="10">
        <v>11642.4</v>
      </c>
      <c r="D72" s="11">
        <v>3.5099999999999999E-2</v>
      </c>
      <c r="E72" s="13">
        <f t="shared" si="4"/>
        <v>-0.10228661533894423</v>
      </c>
    </row>
    <row r="73" spans="2:5" x14ac:dyDescent="0.3">
      <c r="B73" s="9">
        <v>43839</v>
      </c>
      <c r="C73" s="10">
        <v>11247.55</v>
      </c>
      <c r="D73" s="11">
        <v>-1.23E-2</v>
      </c>
      <c r="E73" s="13">
        <f t="shared" si="4"/>
        <v>-3.3914828557685683E-2</v>
      </c>
    </row>
    <row r="74" spans="2:5" x14ac:dyDescent="0.3">
      <c r="B74" s="9">
        <v>43838</v>
      </c>
      <c r="C74" s="10">
        <v>11387.5</v>
      </c>
      <c r="D74" s="11">
        <v>2.8400000000000002E-2</v>
      </c>
      <c r="E74" s="13">
        <f t="shared" si="4"/>
        <v>1.2442709745678071E-2</v>
      </c>
    </row>
    <row r="75" spans="2:5" x14ac:dyDescent="0.3">
      <c r="B75" s="9">
        <v>43837</v>
      </c>
      <c r="C75" s="10">
        <v>11073.45</v>
      </c>
      <c r="D75" s="11">
        <v>7.4899999999999994E-2</v>
      </c>
      <c r="E75" s="13">
        <f t="shared" si="4"/>
        <v>-2.7578485181119605E-2</v>
      </c>
    </row>
    <row r="76" spans="2:5" x14ac:dyDescent="0.3">
      <c r="B76" s="9">
        <v>43836</v>
      </c>
      <c r="C76" s="10">
        <v>10302.1</v>
      </c>
      <c r="D76" s="11">
        <v>7.5300000000000006E-2</v>
      </c>
      <c r="E76" s="13">
        <f t="shared" si="4"/>
        <v>-6.9657604450284238E-2</v>
      </c>
    </row>
    <row r="77" spans="2:5" x14ac:dyDescent="0.3">
      <c r="B77" s="9">
        <v>43835</v>
      </c>
      <c r="C77" s="10">
        <v>9580.2999999999993</v>
      </c>
      <c r="D77" s="11">
        <v>-2.8400000000000002E-2</v>
      </c>
      <c r="E77" s="13">
        <f t="shared" si="4"/>
        <v>-7.00633851350696E-2</v>
      </c>
    </row>
    <row r="78" spans="2:5" x14ac:dyDescent="0.3">
      <c r="B78" s="9">
        <v>43834</v>
      </c>
      <c r="C78" s="10">
        <v>9859.9</v>
      </c>
      <c r="D78" s="11">
        <v>0.14680000000000001</v>
      </c>
      <c r="E78" s="13">
        <f t="shared" si="4"/>
        <v>2.9184889825997207E-2</v>
      </c>
    </row>
    <row r="79" spans="2:5" x14ac:dyDescent="0.3">
      <c r="B79" s="9">
        <v>43833</v>
      </c>
      <c r="C79" s="10">
        <v>8597.75</v>
      </c>
      <c r="D79" s="11">
        <v>-0.23250000000000001</v>
      </c>
      <c r="E79" s="13">
        <f t="shared" si="4"/>
        <v>-0.12800839765109173</v>
      </c>
    </row>
    <row r="80" spans="2:5" x14ac:dyDescent="0.3">
      <c r="B80" s="9">
        <v>43832</v>
      </c>
      <c r="C80" s="10">
        <v>11201.75</v>
      </c>
      <c r="D80" s="11">
        <v>-6.3600000000000004E-2</v>
      </c>
      <c r="E80" s="13">
        <f t="shared" si="4"/>
        <v>0.3028699369020964</v>
      </c>
    </row>
    <row r="81" spans="2:5" x14ac:dyDescent="0.3">
      <c r="B81" s="9">
        <v>43831</v>
      </c>
      <c r="C81" s="10">
        <v>11962.1</v>
      </c>
      <c r="D81" s="11">
        <v>-1.7000000000000001E-2</v>
      </c>
      <c r="E81" s="13">
        <f t="shared" si="4"/>
        <v>6.7877786952931451E-2</v>
      </c>
    </row>
    <row r="82" spans="2:5" x14ac:dyDescent="0.3">
      <c r="B82" s="9">
        <v>43477</v>
      </c>
      <c r="C82" s="10">
        <v>12168.45</v>
      </c>
      <c r="D82" s="11">
        <v>9.2999999999999992E-3</v>
      </c>
      <c r="E82" s="13">
        <f t="shared" si="4"/>
        <v>1.725031558004031E-2</v>
      </c>
    </row>
    <row r="83" spans="2:5" x14ac:dyDescent="0.3">
      <c r="B83" s="9">
        <v>43476</v>
      </c>
      <c r="C83" s="10">
        <v>12056.05</v>
      </c>
      <c r="D83" s="11">
        <v>1.4999999999999999E-2</v>
      </c>
      <c r="E83" s="13">
        <f t="shared" si="4"/>
        <v>-9.2370022476159219E-3</v>
      </c>
    </row>
    <row r="84" spans="2:5" x14ac:dyDescent="0.3">
      <c r="B84" s="9">
        <v>43475</v>
      </c>
      <c r="C84" s="10">
        <v>11877.45</v>
      </c>
      <c r="D84" s="11">
        <v>3.5099999999999999E-2</v>
      </c>
      <c r="E84" s="13">
        <f t="shared" si="4"/>
        <v>-1.4814138959277634E-2</v>
      </c>
    </row>
    <row r="85" spans="2:5" x14ac:dyDescent="0.3">
      <c r="B85" s="9">
        <v>43474</v>
      </c>
      <c r="C85" s="10">
        <v>11474.45</v>
      </c>
      <c r="D85" s="11">
        <v>4.0899999999999999E-2</v>
      </c>
      <c r="E85" s="13">
        <f t="shared" si="4"/>
        <v>-3.3929841843156616E-2</v>
      </c>
    </row>
    <row r="86" spans="2:5" x14ac:dyDescent="0.3">
      <c r="B86" s="9">
        <v>43473</v>
      </c>
      <c r="C86" s="10">
        <v>11023.25</v>
      </c>
      <c r="D86" s="11">
        <v>-8.5000000000000006E-3</v>
      </c>
      <c r="E86" s="13">
        <f t="shared" si="4"/>
        <v>-3.9322146159511018E-2</v>
      </c>
    </row>
    <row r="87" spans="2:5" x14ac:dyDescent="0.3">
      <c r="B87" s="9">
        <v>43472</v>
      </c>
      <c r="C87" s="10">
        <v>11118</v>
      </c>
      <c r="D87" s="11">
        <v>-5.6899999999999999E-2</v>
      </c>
      <c r="E87" s="13">
        <f t="shared" si="4"/>
        <v>8.5954686684961423E-3</v>
      </c>
    </row>
    <row r="88" spans="2:5" x14ac:dyDescent="0.3">
      <c r="B88" s="9">
        <v>43471</v>
      </c>
      <c r="C88" s="10">
        <v>11788.85</v>
      </c>
      <c r="D88" s="11">
        <v>-1.12E-2</v>
      </c>
      <c r="E88" s="13">
        <f t="shared" si="4"/>
        <v>6.0339089764346099E-2</v>
      </c>
    </row>
    <row r="89" spans="2:5" x14ac:dyDescent="0.3">
      <c r="B89" s="9">
        <v>43470</v>
      </c>
      <c r="C89" s="10">
        <v>11922.8</v>
      </c>
      <c r="D89" s="11">
        <v>1.49E-2</v>
      </c>
      <c r="E89" s="13">
        <f t="shared" si="4"/>
        <v>1.1362431450056443E-2</v>
      </c>
    </row>
    <row r="90" spans="2:5" x14ac:dyDescent="0.3">
      <c r="B90" s="9">
        <v>43469</v>
      </c>
      <c r="C90" s="10">
        <v>11748.15</v>
      </c>
      <c r="D90" s="11">
        <v>1.0699999999999999E-2</v>
      </c>
      <c r="E90" s="13">
        <f t="shared" si="4"/>
        <v>-1.464840473714224E-2</v>
      </c>
    </row>
    <row r="91" spans="2:5" x14ac:dyDescent="0.3">
      <c r="B91" s="9">
        <v>43468</v>
      </c>
      <c r="C91" s="10">
        <v>11623.9</v>
      </c>
      <c r="D91" s="11">
        <v>7.6999999999999999E-2</v>
      </c>
      <c r="E91" s="13">
        <f t="shared" si="4"/>
        <v>-1.0576133263535126E-2</v>
      </c>
    </row>
    <row r="92" spans="2:5" x14ac:dyDescent="0.3">
      <c r="B92" s="9">
        <v>43467</v>
      </c>
      <c r="C92" s="10">
        <v>10792.5</v>
      </c>
      <c r="D92" s="11">
        <v>-3.5999999999999999E-3</v>
      </c>
      <c r="E92" s="13">
        <f t="shared" si="4"/>
        <v>-7.1525047531379338E-2</v>
      </c>
    </row>
    <row r="93" spans="2:5" x14ac:dyDescent="0.3">
      <c r="B93" s="9">
        <v>43466</v>
      </c>
      <c r="C93" s="10">
        <v>10830.95</v>
      </c>
      <c r="D93" s="11">
        <v>-2.8999999999999998E-3</v>
      </c>
      <c r="E93" s="13">
        <f t="shared" si="4"/>
        <v>3.5626592541118107E-3</v>
      </c>
    </row>
    <row r="94" spans="2:5" x14ac:dyDescent="0.3">
      <c r="B94" s="9">
        <v>43112</v>
      </c>
      <c r="C94" s="10">
        <v>10862.55</v>
      </c>
      <c r="D94" s="11">
        <v>-1.2999999999999999E-3</v>
      </c>
      <c r="E94" s="13">
        <f t="shared" si="4"/>
        <v>2.9175649412100935E-3</v>
      </c>
    </row>
    <row r="95" spans="2:5" x14ac:dyDescent="0.3">
      <c r="B95" s="9">
        <v>43111</v>
      </c>
      <c r="C95" s="10">
        <v>10876.75</v>
      </c>
      <c r="D95" s="11">
        <v>4.7199999999999999E-2</v>
      </c>
      <c r="E95" s="13">
        <f t="shared" si="4"/>
        <v>1.3072436950809507E-3</v>
      </c>
    </row>
    <row r="96" spans="2:5" x14ac:dyDescent="0.3">
      <c r="B96" s="9">
        <v>43110</v>
      </c>
      <c r="C96" s="10">
        <v>10386.6</v>
      </c>
      <c r="D96" s="11">
        <v>-4.9799999999999997E-2</v>
      </c>
      <c r="E96" s="13">
        <f t="shared" si="4"/>
        <v>-4.5064012687613508E-2</v>
      </c>
    </row>
    <row r="97" spans="2:5" x14ac:dyDescent="0.3">
      <c r="B97" s="9">
        <v>43109</v>
      </c>
      <c r="C97" s="10">
        <v>10930.45</v>
      </c>
      <c r="D97" s="11">
        <v>-6.4199999999999993E-2</v>
      </c>
      <c r="E97" s="13">
        <f t="shared" si="4"/>
        <v>5.2360734022683042E-2</v>
      </c>
    </row>
    <row r="98" spans="2:5" x14ac:dyDescent="0.3">
      <c r="B98" s="9">
        <v>43108</v>
      </c>
      <c r="C98" s="10">
        <v>11680.5</v>
      </c>
      <c r="D98" s="11">
        <v>2.8500000000000001E-2</v>
      </c>
      <c r="E98" s="13">
        <f t="shared" si="4"/>
        <v>6.8620230640092483E-2</v>
      </c>
    </row>
    <row r="99" spans="2:5" x14ac:dyDescent="0.3">
      <c r="B99" s="9">
        <v>43107</v>
      </c>
      <c r="C99" s="10">
        <v>11356.5</v>
      </c>
      <c r="D99" s="11">
        <v>5.9900000000000002E-2</v>
      </c>
      <c r="E99" s="13">
        <f t="shared" si="4"/>
        <v>-2.7738538589957673E-2</v>
      </c>
    </row>
    <row r="100" spans="2:5" x14ac:dyDescent="0.3">
      <c r="B100" s="9">
        <v>43106</v>
      </c>
      <c r="C100" s="10">
        <v>10714.3</v>
      </c>
      <c r="D100" s="11">
        <v>-2E-3</v>
      </c>
      <c r="E100" s="13">
        <f t="shared" si="4"/>
        <v>-5.6549112842865346E-2</v>
      </c>
    </row>
    <row r="101" spans="2:5" x14ac:dyDescent="0.3">
      <c r="B101" s="9">
        <v>43105</v>
      </c>
      <c r="C101" s="10">
        <v>10736.15</v>
      </c>
      <c r="D101" s="11">
        <v>-2.9999999999999997E-4</v>
      </c>
      <c r="E101" s="13">
        <f t="shared" si="4"/>
        <v>2.0393306142258982E-3</v>
      </c>
    </row>
    <row r="102" spans="2:5" x14ac:dyDescent="0.3">
      <c r="B102" s="9">
        <v>43104</v>
      </c>
      <c r="C102" s="10">
        <v>10739.35</v>
      </c>
      <c r="D102" s="11">
        <v>6.1899999999999997E-2</v>
      </c>
      <c r="E102" s="13">
        <f t="shared" si="4"/>
        <v>2.9805842876640121E-4</v>
      </c>
    </row>
    <row r="103" spans="2:5" x14ac:dyDescent="0.3">
      <c r="B103" s="9">
        <v>43103</v>
      </c>
      <c r="C103" s="10">
        <v>10113.700000000001</v>
      </c>
      <c r="D103" s="11">
        <v>-3.61E-2</v>
      </c>
      <c r="E103" s="13">
        <f t="shared" si="4"/>
        <v>-5.8257715783543662E-2</v>
      </c>
    </row>
    <row r="104" spans="2:5" x14ac:dyDescent="0.3">
      <c r="B104" s="9">
        <v>43102</v>
      </c>
      <c r="C104" s="10">
        <v>10492.85</v>
      </c>
      <c r="D104" s="11">
        <v>-4.8500000000000001E-2</v>
      </c>
      <c r="E104" s="13">
        <f t="shared" si="4"/>
        <v>3.748875287975717E-2</v>
      </c>
    </row>
    <row r="105" spans="2:5" x14ac:dyDescent="0.3">
      <c r="B105" s="9">
        <v>43101</v>
      </c>
      <c r="C105" s="10">
        <v>11027.7</v>
      </c>
      <c r="D105" s="11">
        <v>4.7199999999999999E-2</v>
      </c>
      <c r="E105" s="13">
        <f t="shared" si="4"/>
        <v>5.0972805291222167E-2</v>
      </c>
    </row>
    <row r="106" spans="2:5" x14ac:dyDescent="0.3">
      <c r="B106" s="9">
        <v>42747</v>
      </c>
      <c r="C106" s="10">
        <v>10530.7</v>
      </c>
      <c r="D106" s="11">
        <v>2.9700000000000001E-2</v>
      </c>
      <c r="E106" s="13">
        <f t="shared" si="4"/>
        <v>-4.5068327937829333E-2</v>
      </c>
    </row>
    <row r="107" spans="2:5" x14ac:dyDescent="0.3">
      <c r="B107" s="9">
        <v>42746</v>
      </c>
      <c r="C107" s="10">
        <v>10226.549999999999</v>
      </c>
      <c r="D107" s="11">
        <v>-1.0500000000000001E-2</v>
      </c>
      <c r="E107" s="13">
        <f t="shared" si="4"/>
        <v>-2.8882220555138893E-2</v>
      </c>
    </row>
    <row r="108" spans="2:5" x14ac:dyDescent="0.3">
      <c r="B108" s="9">
        <v>42745</v>
      </c>
      <c r="C108" s="10">
        <v>10335.299999999999</v>
      </c>
      <c r="D108" s="11">
        <v>5.5899999999999998E-2</v>
      </c>
      <c r="E108" s="13">
        <f t="shared" si="4"/>
        <v>1.0634084808659905E-2</v>
      </c>
    </row>
    <row r="109" spans="2:5" x14ac:dyDescent="0.3">
      <c r="B109" s="9">
        <v>42744</v>
      </c>
      <c r="C109" s="10">
        <v>9788.6</v>
      </c>
      <c r="D109" s="11">
        <v>-1.2999999999999999E-2</v>
      </c>
      <c r="E109" s="13">
        <f t="shared" si="4"/>
        <v>-5.289638423654841E-2</v>
      </c>
    </row>
    <row r="110" spans="2:5" x14ac:dyDescent="0.3">
      <c r="B110" s="9">
        <v>42743</v>
      </c>
      <c r="C110" s="10">
        <v>9917.9</v>
      </c>
      <c r="D110" s="11">
        <v>-1.5800000000000002E-2</v>
      </c>
      <c r="E110" s="13">
        <f t="shared" si="4"/>
        <v>1.3209243405594151E-2</v>
      </c>
    </row>
    <row r="111" spans="2:5" x14ac:dyDescent="0.3">
      <c r="B111" s="9">
        <v>42742</v>
      </c>
      <c r="C111" s="10">
        <v>10077.1</v>
      </c>
      <c r="D111" s="11">
        <v>5.8400000000000001E-2</v>
      </c>
      <c r="E111" s="13">
        <f t="shared" si="4"/>
        <v>1.6051785156131926E-2</v>
      </c>
    </row>
    <row r="112" spans="2:5" x14ac:dyDescent="0.3">
      <c r="B112" s="9">
        <v>42741</v>
      </c>
      <c r="C112" s="10">
        <v>9520.9</v>
      </c>
      <c r="D112" s="11">
        <v>-1.04E-2</v>
      </c>
      <c r="E112" s="13">
        <f t="shared" si="4"/>
        <v>-5.5194450784451954E-2</v>
      </c>
    </row>
    <row r="113" spans="2:5" x14ac:dyDescent="0.3">
      <c r="B113" s="9">
        <v>42740</v>
      </c>
      <c r="C113" s="10">
        <v>9621.25</v>
      </c>
      <c r="D113" s="11">
        <v>3.4099999999999998E-2</v>
      </c>
      <c r="E113" s="13">
        <f t="shared" si="4"/>
        <v>1.053996996082307E-2</v>
      </c>
    </row>
    <row r="114" spans="2:5" x14ac:dyDescent="0.3">
      <c r="B114" s="9">
        <v>42739</v>
      </c>
      <c r="C114" s="10">
        <v>9304.0499999999993</v>
      </c>
      <c r="D114" s="11">
        <v>1.4200000000000001E-2</v>
      </c>
      <c r="E114" s="13">
        <f t="shared" si="4"/>
        <v>-3.296868909964934E-2</v>
      </c>
    </row>
    <row r="115" spans="2:5" x14ac:dyDescent="0.3">
      <c r="B115" s="9">
        <v>42738</v>
      </c>
      <c r="C115" s="10">
        <v>9173.75</v>
      </c>
      <c r="D115" s="11">
        <v>3.3099999999999997E-2</v>
      </c>
      <c r="E115" s="13">
        <f t="shared" si="4"/>
        <v>-1.4004653887285556E-2</v>
      </c>
    </row>
    <row r="116" spans="2:5" x14ac:dyDescent="0.3">
      <c r="B116" s="9">
        <v>42737</v>
      </c>
      <c r="C116" s="10">
        <v>8879.6</v>
      </c>
      <c r="D116" s="11">
        <v>3.7199999999999997E-2</v>
      </c>
      <c r="E116" s="13">
        <f t="shared" si="4"/>
        <v>-3.2064313939228706E-2</v>
      </c>
    </row>
    <row r="117" spans="2:5" x14ac:dyDescent="0.3">
      <c r="B117" s="9">
        <v>42736</v>
      </c>
      <c r="C117" s="10">
        <v>8561.2999999999993</v>
      </c>
      <c r="D117" s="11">
        <v>4.5900000000000003E-2</v>
      </c>
      <c r="E117" s="13">
        <f t="shared" si="4"/>
        <v>-3.5846209288706854E-2</v>
      </c>
    </row>
    <row r="118" spans="2:5" x14ac:dyDescent="0.3">
      <c r="B118" s="9">
        <v>42381</v>
      </c>
      <c r="C118" s="10">
        <v>8185.8</v>
      </c>
      <c r="D118" s="11">
        <v>-4.7000000000000002E-3</v>
      </c>
      <c r="E118" s="13">
        <f t="shared" si="4"/>
        <v>-4.3860161424082666E-2</v>
      </c>
    </row>
    <row r="119" spans="2:5" x14ac:dyDescent="0.3">
      <c r="B119" s="9">
        <v>42380</v>
      </c>
      <c r="C119" s="10">
        <v>8224.5</v>
      </c>
      <c r="D119" s="11">
        <v>-4.65E-2</v>
      </c>
      <c r="E119" s="13">
        <f t="shared" si="4"/>
        <v>4.7276991863960394E-3</v>
      </c>
    </row>
    <row r="120" spans="2:5" x14ac:dyDescent="0.3">
      <c r="B120" s="9">
        <v>42379</v>
      </c>
      <c r="C120" s="10">
        <v>8625.7000000000007</v>
      </c>
      <c r="D120" s="11">
        <v>1.6999999999999999E-3</v>
      </c>
      <c r="E120" s="13">
        <f t="shared" si="4"/>
        <v>4.8781080916773245E-2</v>
      </c>
    </row>
    <row r="121" spans="2:5" x14ac:dyDescent="0.3">
      <c r="B121" s="9">
        <v>42378</v>
      </c>
      <c r="C121" s="10">
        <v>8611.15</v>
      </c>
      <c r="D121" s="11">
        <v>-1.9900000000000001E-2</v>
      </c>
      <c r="E121" s="13">
        <f t="shared" si="4"/>
        <v>-1.6868196204367081E-3</v>
      </c>
    </row>
    <row r="122" spans="2:5" x14ac:dyDescent="0.3">
      <c r="B122" s="9">
        <v>42377</v>
      </c>
      <c r="C122" s="10">
        <v>8786.2000000000007</v>
      </c>
      <c r="D122" s="11">
        <v>1.7100000000000001E-2</v>
      </c>
      <c r="E122" s="13">
        <f t="shared" si="4"/>
        <v>2.0328295291569765E-2</v>
      </c>
    </row>
    <row r="123" spans="2:5" x14ac:dyDescent="0.3">
      <c r="B123" s="9">
        <v>42376</v>
      </c>
      <c r="C123" s="10">
        <v>8638.5</v>
      </c>
      <c r="D123" s="11">
        <v>4.2299999999999997E-2</v>
      </c>
      <c r="E123" s="13">
        <f t="shared" si="4"/>
        <v>-1.681045275545745E-2</v>
      </c>
    </row>
    <row r="124" spans="2:5" x14ac:dyDescent="0.3">
      <c r="B124" s="9">
        <v>42375</v>
      </c>
      <c r="C124" s="10">
        <v>8287.75</v>
      </c>
      <c r="D124" s="11">
        <v>1.5599999999999999E-2</v>
      </c>
      <c r="E124" s="13">
        <f t="shared" si="4"/>
        <v>-4.0603113966545146E-2</v>
      </c>
    </row>
    <row r="125" spans="2:5" x14ac:dyDescent="0.3">
      <c r="B125" s="9">
        <v>42374</v>
      </c>
      <c r="C125" s="10">
        <v>8160.1</v>
      </c>
      <c r="D125" s="11">
        <v>3.95E-2</v>
      </c>
      <c r="E125" s="13">
        <f t="shared" si="4"/>
        <v>-1.5402250309191179E-2</v>
      </c>
    </row>
    <row r="126" spans="2:5" x14ac:dyDescent="0.3">
      <c r="B126" s="9">
        <v>42373</v>
      </c>
      <c r="C126" s="10">
        <v>7849.8</v>
      </c>
      <c r="D126" s="11">
        <v>1.44E-2</v>
      </c>
      <c r="E126" s="13">
        <f t="shared" si="4"/>
        <v>-3.8026494773348407E-2</v>
      </c>
    </row>
    <row r="127" spans="2:5" x14ac:dyDescent="0.3">
      <c r="B127" s="9">
        <v>42372</v>
      </c>
      <c r="C127" s="10">
        <v>7738.4</v>
      </c>
      <c r="D127" s="11">
        <v>0.1075</v>
      </c>
      <c r="E127" s="13">
        <f t="shared" si="4"/>
        <v>-1.4191444368009454E-2</v>
      </c>
    </row>
    <row r="128" spans="2:5" x14ac:dyDescent="0.3">
      <c r="B128" s="9">
        <v>42371</v>
      </c>
      <c r="C128" s="10">
        <v>6987.05</v>
      </c>
      <c r="D128" s="11">
        <v>-7.6200000000000004E-2</v>
      </c>
      <c r="E128" s="13">
        <f t="shared" si="4"/>
        <v>-9.7093714462938019E-2</v>
      </c>
    </row>
    <row r="129" spans="2:5" x14ac:dyDescent="0.3">
      <c r="B129" s="9">
        <v>42370</v>
      </c>
      <c r="C129" s="10">
        <v>7563.55</v>
      </c>
      <c r="D129" s="11">
        <v>-4.82E-2</v>
      </c>
      <c r="E129" s="13">
        <f t="shared" si="4"/>
        <v>8.2509785961170978E-2</v>
      </c>
    </row>
    <row r="130" spans="2:5" x14ac:dyDescent="0.3">
      <c r="B130" s="9">
        <v>42016</v>
      </c>
      <c r="C130" s="10">
        <v>7946.35</v>
      </c>
      <c r="D130" s="11">
        <v>1.4E-3</v>
      </c>
      <c r="E130" s="13">
        <f t="shared" si="4"/>
        <v>5.0611154814868664E-2</v>
      </c>
    </row>
    <row r="131" spans="2:5" x14ac:dyDescent="0.3">
      <c r="B131" s="9">
        <v>42015</v>
      </c>
      <c r="C131" s="10">
        <v>7935.25</v>
      </c>
      <c r="D131" s="11">
        <v>-1.6199999999999999E-2</v>
      </c>
      <c r="E131" s="13">
        <f t="shared" si="4"/>
        <v>-1.3968677443103594E-3</v>
      </c>
    </row>
    <row r="132" spans="2:5" x14ac:dyDescent="0.3">
      <c r="B132" s="9">
        <v>42014</v>
      </c>
      <c r="C132" s="10">
        <v>8065.8</v>
      </c>
      <c r="D132" s="11">
        <v>1.47E-2</v>
      </c>
      <c r="E132" s="13">
        <f t="shared" si="4"/>
        <v>1.6451907627359041E-2</v>
      </c>
    </row>
    <row r="133" spans="2:5" x14ac:dyDescent="0.3">
      <c r="B133" s="9">
        <v>42013</v>
      </c>
      <c r="C133" s="10">
        <v>7948.9</v>
      </c>
      <c r="D133" s="11">
        <v>-2.8E-3</v>
      </c>
      <c r="E133" s="13">
        <f t="shared" ref="E133:E196" si="5">C133/C132-1</f>
        <v>-1.44932926678073E-2</v>
      </c>
    </row>
    <row r="134" spans="2:5" x14ac:dyDescent="0.3">
      <c r="B134" s="9">
        <v>42012</v>
      </c>
      <c r="C134" s="10">
        <v>7971.3</v>
      </c>
      <c r="D134" s="11">
        <v>-6.5799999999999997E-2</v>
      </c>
      <c r="E134" s="13">
        <f t="shared" si="5"/>
        <v>2.8179999748394469E-3</v>
      </c>
    </row>
    <row r="135" spans="2:5" x14ac:dyDescent="0.3">
      <c r="B135" s="9">
        <v>42011</v>
      </c>
      <c r="C135" s="10">
        <v>8532.85</v>
      </c>
      <c r="D135" s="11">
        <v>1.9599999999999999E-2</v>
      </c>
      <c r="E135" s="13">
        <f t="shared" si="5"/>
        <v>7.0446476735287922E-2</v>
      </c>
    </row>
    <row r="136" spans="2:5" x14ac:dyDescent="0.3">
      <c r="B136" s="9">
        <v>42010</v>
      </c>
      <c r="C136" s="10">
        <v>8368.5</v>
      </c>
      <c r="D136" s="11">
        <v>-7.7000000000000002E-3</v>
      </c>
      <c r="E136" s="13">
        <f t="shared" si="5"/>
        <v>-1.926085657195431E-2</v>
      </c>
    </row>
    <row r="137" spans="2:5" x14ac:dyDescent="0.3">
      <c r="B137" s="9">
        <v>42009</v>
      </c>
      <c r="C137" s="10">
        <v>8433.65</v>
      </c>
      <c r="D137" s="11">
        <v>3.0800000000000001E-2</v>
      </c>
      <c r="E137" s="13">
        <f t="shared" si="5"/>
        <v>7.7851466810061609E-3</v>
      </c>
    </row>
    <row r="138" spans="2:5" x14ac:dyDescent="0.3">
      <c r="B138" s="9">
        <v>42008</v>
      </c>
      <c r="C138" s="10">
        <v>8181.5</v>
      </c>
      <c r="D138" s="11">
        <v>-3.6499999999999998E-2</v>
      </c>
      <c r="E138" s="13">
        <f t="shared" si="5"/>
        <v>-2.9898086830731585E-2</v>
      </c>
    </row>
    <row r="139" spans="2:5" x14ac:dyDescent="0.3">
      <c r="B139" s="9">
        <v>42007</v>
      </c>
      <c r="C139" s="10">
        <v>8491</v>
      </c>
      <c r="D139" s="11">
        <v>-4.6199999999999998E-2</v>
      </c>
      <c r="E139" s="13">
        <f t="shared" si="5"/>
        <v>3.7829248915235647E-2</v>
      </c>
    </row>
    <row r="140" spans="2:5" x14ac:dyDescent="0.3">
      <c r="B140" s="9">
        <v>42006</v>
      </c>
      <c r="C140" s="10">
        <v>8901.85</v>
      </c>
      <c r="D140" s="11">
        <v>1.06E-2</v>
      </c>
      <c r="E140" s="13">
        <f t="shared" si="5"/>
        <v>4.8386526910846772E-2</v>
      </c>
    </row>
    <row r="141" spans="2:5" x14ac:dyDescent="0.3">
      <c r="B141" s="9">
        <v>42005</v>
      </c>
      <c r="C141" s="10">
        <v>8808.9</v>
      </c>
      <c r="D141" s="11">
        <v>6.3500000000000001E-2</v>
      </c>
      <c r="E141" s="13">
        <f t="shared" si="5"/>
        <v>-1.0441649769430073E-2</v>
      </c>
    </row>
    <row r="142" spans="2:5" x14ac:dyDescent="0.3">
      <c r="B142" s="9">
        <v>41651</v>
      </c>
      <c r="C142" s="10">
        <v>8282.7000000000007</v>
      </c>
      <c r="D142" s="11">
        <v>-3.56E-2</v>
      </c>
      <c r="E142" s="13">
        <f t="shared" si="5"/>
        <v>-5.973504069747626E-2</v>
      </c>
    </row>
    <row r="143" spans="2:5" x14ac:dyDescent="0.3">
      <c r="B143" s="9">
        <v>41650</v>
      </c>
      <c r="C143" s="10">
        <v>8588.25</v>
      </c>
      <c r="D143" s="11">
        <v>3.2000000000000001E-2</v>
      </c>
      <c r="E143" s="13">
        <f t="shared" si="5"/>
        <v>3.6890144518091805E-2</v>
      </c>
    </row>
    <row r="144" spans="2:5" x14ac:dyDescent="0.3">
      <c r="B144" s="9">
        <v>41649</v>
      </c>
      <c r="C144" s="10">
        <v>8322.2000000000007</v>
      </c>
      <c r="D144" s="11">
        <v>4.4900000000000002E-2</v>
      </c>
      <c r="E144" s="13">
        <f t="shared" si="5"/>
        <v>-3.0978371612377265E-2</v>
      </c>
    </row>
    <row r="145" spans="2:5" x14ac:dyDescent="0.3">
      <c r="B145" s="9">
        <v>41648</v>
      </c>
      <c r="C145" s="10">
        <v>7964.8</v>
      </c>
      <c r="D145" s="11">
        <v>1.2999999999999999E-3</v>
      </c>
      <c r="E145" s="13">
        <f t="shared" si="5"/>
        <v>-4.2945375021028132E-2</v>
      </c>
    </row>
    <row r="146" spans="2:5" x14ac:dyDescent="0.3">
      <c r="B146" s="9">
        <v>41647</v>
      </c>
      <c r="C146" s="10">
        <v>7954.35</v>
      </c>
      <c r="D146" s="11">
        <v>3.0200000000000001E-2</v>
      </c>
      <c r="E146" s="13">
        <f t="shared" si="5"/>
        <v>-1.3120229007633766E-3</v>
      </c>
    </row>
    <row r="147" spans="2:5" x14ac:dyDescent="0.3">
      <c r="B147" s="9">
        <v>41646</v>
      </c>
      <c r="C147" s="10">
        <v>7721.3</v>
      </c>
      <c r="D147" s="11">
        <v>1.44E-2</v>
      </c>
      <c r="E147" s="13">
        <f t="shared" si="5"/>
        <v>-2.9298434190097256E-2</v>
      </c>
    </row>
    <row r="148" spans="2:5" x14ac:dyDescent="0.3">
      <c r="B148" s="9">
        <v>41645</v>
      </c>
      <c r="C148" s="10">
        <v>7611.35</v>
      </c>
      <c r="D148" s="11">
        <v>5.28E-2</v>
      </c>
      <c r="E148" s="13">
        <f t="shared" si="5"/>
        <v>-1.4239830080426841E-2</v>
      </c>
    </row>
    <row r="149" spans="2:5" x14ac:dyDescent="0.3">
      <c r="B149" s="9">
        <v>41644</v>
      </c>
      <c r="C149" s="10">
        <v>7229.95</v>
      </c>
      <c r="D149" s="11">
        <v>7.9699999999999993E-2</v>
      </c>
      <c r="E149" s="13">
        <f t="shared" si="5"/>
        <v>-5.0109376129070515E-2</v>
      </c>
    </row>
    <row r="150" spans="2:5" x14ac:dyDescent="0.3">
      <c r="B150" s="9">
        <v>41643</v>
      </c>
      <c r="C150" s="10">
        <v>6696.4</v>
      </c>
      <c r="D150" s="11">
        <v>-1.1999999999999999E-3</v>
      </c>
      <c r="E150" s="13">
        <f t="shared" si="5"/>
        <v>-7.3797190851942251E-2</v>
      </c>
    </row>
    <row r="151" spans="2:5" x14ac:dyDescent="0.3">
      <c r="B151" s="9">
        <v>41642</v>
      </c>
      <c r="C151" s="10">
        <v>6704.2</v>
      </c>
      <c r="D151" s="11">
        <v>6.8099999999999994E-2</v>
      </c>
      <c r="E151" s="13">
        <f t="shared" si="5"/>
        <v>1.1648049698345098E-3</v>
      </c>
    </row>
    <row r="152" spans="2:5" x14ac:dyDescent="0.3">
      <c r="B152" s="9">
        <v>41641</v>
      </c>
      <c r="C152" s="10">
        <v>6276.95</v>
      </c>
      <c r="D152" s="11">
        <v>3.0800000000000001E-2</v>
      </c>
      <c r="E152" s="13">
        <f t="shared" si="5"/>
        <v>-6.3728707377464833E-2</v>
      </c>
    </row>
    <row r="153" spans="2:5" x14ac:dyDescent="0.3">
      <c r="B153" s="9">
        <v>41640</v>
      </c>
      <c r="C153" s="10">
        <v>6089.5</v>
      </c>
      <c r="D153" s="11">
        <v>-3.4000000000000002E-2</v>
      </c>
      <c r="E153" s="13">
        <f t="shared" si="5"/>
        <v>-2.9863229753303688E-2</v>
      </c>
    </row>
    <row r="154" spans="2:5" x14ac:dyDescent="0.3">
      <c r="B154" s="9">
        <v>41286</v>
      </c>
      <c r="C154" s="10">
        <v>6304</v>
      </c>
      <c r="D154" s="11">
        <v>2.07E-2</v>
      </c>
      <c r="E154" s="13">
        <f t="shared" si="5"/>
        <v>3.5224566877412045E-2</v>
      </c>
    </row>
    <row r="155" spans="2:5" x14ac:dyDescent="0.3">
      <c r="B155" s="9">
        <v>41285</v>
      </c>
      <c r="C155" s="10">
        <v>6176.1</v>
      </c>
      <c r="D155" s="11">
        <v>-1.95E-2</v>
      </c>
      <c r="E155" s="13">
        <f t="shared" si="5"/>
        <v>-2.0288705583756284E-2</v>
      </c>
    </row>
    <row r="156" spans="2:5" x14ac:dyDescent="0.3">
      <c r="B156" s="9">
        <v>41284</v>
      </c>
      <c r="C156" s="10">
        <v>6299.15</v>
      </c>
      <c r="D156" s="11">
        <v>9.8299999999999998E-2</v>
      </c>
      <c r="E156" s="13">
        <f t="shared" si="5"/>
        <v>1.9923576366962958E-2</v>
      </c>
    </row>
    <row r="157" spans="2:5" x14ac:dyDescent="0.3">
      <c r="B157" s="9">
        <v>41283</v>
      </c>
      <c r="C157" s="10">
        <v>5735.3</v>
      </c>
      <c r="D157" s="11">
        <v>4.82E-2</v>
      </c>
      <c r="E157" s="13">
        <f t="shared" si="5"/>
        <v>-8.9512077026265402E-2</v>
      </c>
    </row>
    <row r="158" spans="2:5" x14ac:dyDescent="0.3">
      <c r="B158" s="9">
        <v>41282</v>
      </c>
      <c r="C158" s="10">
        <v>5471.8</v>
      </c>
      <c r="D158" s="11">
        <v>-4.7100000000000003E-2</v>
      </c>
      <c r="E158" s="13">
        <f t="shared" si="5"/>
        <v>-4.5943542622007616E-2</v>
      </c>
    </row>
    <row r="159" spans="2:5" x14ac:dyDescent="0.3">
      <c r="B159" s="9">
        <v>41281</v>
      </c>
      <c r="C159" s="10">
        <v>5742</v>
      </c>
      <c r="D159" s="11">
        <v>-1.72E-2</v>
      </c>
      <c r="E159" s="13">
        <f t="shared" si="5"/>
        <v>4.9380459812127686E-2</v>
      </c>
    </row>
    <row r="160" spans="2:5" x14ac:dyDescent="0.3">
      <c r="B160" s="9">
        <v>41280</v>
      </c>
      <c r="C160" s="10">
        <v>5842.2</v>
      </c>
      <c r="D160" s="11">
        <v>-2.4E-2</v>
      </c>
      <c r="E160" s="13">
        <f t="shared" si="5"/>
        <v>1.7450365726227712E-2</v>
      </c>
    </row>
    <row r="161" spans="2:5" x14ac:dyDescent="0.3">
      <c r="B161" s="9">
        <v>41279</v>
      </c>
      <c r="C161" s="10">
        <v>5985.95</v>
      </c>
      <c r="D161" s="11">
        <v>9.4000000000000004E-3</v>
      </c>
      <c r="E161" s="13">
        <f t="shared" si="5"/>
        <v>2.4605456848447504E-2</v>
      </c>
    </row>
    <row r="162" spans="2:5" x14ac:dyDescent="0.3">
      <c r="B162" s="9">
        <v>41278</v>
      </c>
      <c r="C162" s="10">
        <v>5930.2</v>
      </c>
      <c r="D162" s="11">
        <v>4.36E-2</v>
      </c>
      <c r="E162" s="13">
        <f t="shared" si="5"/>
        <v>-9.3134757223164444E-3</v>
      </c>
    </row>
    <row r="163" spans="2:5" x14ac:dyDescent="0.3">
      <c r="B163" s="9">
        <v>41277</v>
      </c>
      <c r="C163" s="10">
        <v>5682.55</v>
      </c>
      <c r="D163" s="11">
        <v>-1.8E-3</v>
      </c>
      <c r="E163" s="13">
        <f t="shared" si="5"/>
        <v>-4.176081751037064E-2</v>
      </c>
    </row>
    <row r="164" spans="2:5" x14ac:dyDescent="0.3">
      <c r="B164" s="9">
        <v>41276</v>
      </c>
      <c r="C164" s="10">
        <v>5693.05</v>
      </c>
      <c r="D164" s="11">
        <v>-5.6599999999999998E-2</v>
      </c>
      <c r="E164" s="13">
        <f t="shared" si="5"/>
        <v>1.8477620082533175E-3</v>
      </c>
    </row>
    <row r="165" spans="2:5" x14ac:dyDescent="0.3">
      <c r="B165" s="9">
        <v>41275</v>
      </c>
      <c r="C165" s="10">
        <v>6034.75</v>
      </c>
      <c r="D165" s="11">
        <v>2.1999999999999999E-2</v>
      </c>
      <c r="E165" s="13">
        <f t="shared" si="5"/>
        <v>6.0020551374043718E-2</v>
      </c>
    </row>
    <row r="166" spans="2:5" x14ac:dyDescent="0.3">
      <c r="B166" s="9">
        <v>40920</v>
      </c>
      <c r="C166" s="10">
        <v>5905.1</v>
      </c>
      <c r="D166" s="11">
        <v>4.3E-3</v>
      </c>
      <c r="E166" s="13">
        <f t="shared" si="5"/>
        <v>-2.1483905712746942E-2</v>
      </c>
    </row>
    <row r="167" spans="2:5" x14ac:dyDescent="0.3">
      <c r="B167" s="9">
        <v>40919</v>
      </c>
      <c r="C167" s="10">
        <v>5879.85</v>
      </c>
      <c r="D167" s="11">
        <v>4.6300000000000001E-2</v>
      </c>
      <c r="E167" s="13">
        <f t="shared" si="5"/>
        <v>-4.2759648439484321E-3</v>
      </c>
    </row>
    <row r="168" spans="2:5" x14ac:dyDescent="0.3">
      <c r="B168" s="9">
        <v>40918</v>
      </c>
      <c r="C168" s="10">
        <v>5619.7</v>
      </c>
      <c r="D168" s="11">
        <v>-1.47E-2</v>
      </c>
      <c r="E168" s="13">
        <f t="shared" si="5"/>
        <v>-4.4244325960696385E-2</v>
      </c>
    </row>
    <row r="169" spans="2:5" x14ac:dyDescent="0.3">
      <c r="B169" s="9">
        <v>40917</v>
      </c>
      <c r="C169" s="10">
        <v>5703.3</v>
      </c>
      <c r="D169" s="11">
        <v>8.4599999999999995E-2</v>
      </c>
      <c r="E169" s="13">
        <f t="shared" si="5"/>
        <v>1.4876238945139564E-2</v>
      </c>
    </row>
    <row r="170" spans="2:5" x14ac:dyDescent="0.3">
      <c r="B170" s="9">
        <v>40916</v>
      </c>
      <c r="C170" s="10">
        <v>5258.5</v>
      </c>
      <c r="D170" s="11">
        <v>5.5999999999999999E-3</v>
      </c>
      <c r="E170" s="13">
        <f t="shared" si="5"/>
        <v>-7.7989935651289644E-2</v>
      </c>
    </row>
    <row r="171" spans="2:5" x14ac:dyDescent="0.3">
      <c r="B171" s="9">
        <v>40915</v>
      </c>
      <c r="C171" s="10">
        <v>5229</v>
      </c>
      <c r="D171" s="11">
        <v>-9.4999999999999998E-3</v>
      </c>
      <c r="E171" s="13">
        <f t="shared" si="5"/>
        <v>-5.6099648188646656E-3</v>
      </c>
    </row>
    <row r="172" spans="2:5" x14ac:dyDescent="0.3">
      <c r="B172" s="9">
        <v>40914</v>
      </c>
      <c r="C172" s="10">
        <v>5278.9</v>
      </c>
      <c r="D172" s="11">
        <v>7.1999999999999995E-2</v>
      </c>
      <c r="E172" s="13">
        <f t="shared" si="5"/>
        <v>9.5429336393191289E-3</v>
      </c>
    </row>
    <row r="173" spans="2:5" x14ac:dyDescent="0.3">
      <c r="B173" s="9">
        <v>40913</v>
      </c>
      <c r="C173" s="10">
        <v>4924.25</v>
      </c>
      <c r="D173" s="11">
        <v>-6.1699999999999998E-2</v>
      </c>
      <c r="E173" s="13">
        <f t="shared" si="5"/>
        <v>-6.7182556972096408E-2</v>
      </c>
    </row>
    <row r="174" spans="2:5" x14ac:dyDescent="0.3">
      <c r="B174" s="9">
        <v>40912</v>
      </c>
      <c r="C174" s="10">
        <v>5248.15</v>
      </c>
      <c r="D174" s="11">
        <v>-8.9999999999999993E-3</v>
      </c>
      <c r="E174" s="13">
        <f t="shared" si="5"/>
        <v>6.5776514189977986E-2</v>
      </c>
    </row>
    <row r="175" spans="2:5" x14ac:dyDescent="0.3">
      <c r="B175" s="9">
        <v>40911</v>
      </c>
      <c r="C175" s="10">
        <v>5295.55</v>
      </c>
      <c r="D175" s="11">
        <v>-1.66E-2</v>
      </c>
      <c r="E175" s="13">
        <f t="shared" si="5"/>
        <v>9.031754046664231E-3</v>
      </c>
    </row>
    <row r="176" spans="2:5" x14ac:dyDescent="0.3">
      <c r="B176" s="9">
        <v>40910</v>
      </c>
      <c r="C176" s="10">
        <v>5385.2</v>
      </c>
      <c r="D176" s="11">
        <v>3.5799999999999998E-2</v>
      </c>
      <c r="E176" s="13">
        <f t="shared" si="5"/>
        <v>1.6929308570403423E-2</v>
      </c>
    </row>
    <row r="177" spans="2:5" x14ac:dyDescent="0.3">
      <c r="B177" s="9">
        <v>40909</v>
      </c>
      <c r="C177" s="10">
        <v>5199.25</v>
      </c>
      <c r="D177" s="11">
        <v>0.12429999999999999</v>
      </c>
      <c r="E177" s="13">
        <f t="shared" si="5"/>
        <v>-3.4529822476416783E-2</v>
      </c>
    </row>
    <row r="178" spans="2:5" x14ac:dyDescent="0.3">
      <c r="B178" s="9">
        <v>40555</v>
      </c>
      <c r="C178" s="10">
        <v>4624.3</v>
      </c>
      <c r="D178" s="11">
        <v>-4.2999999999999997E-2</v>
      </c>
      <c r="E178" s="13">
        <f t="shared" si="5"/>
        <v>-0.11058325720055773</v>
      </c>
    </row>
    <row r="179" spans="2:5" x14ac:dyDescent="0.3">
      <c r="B179" s="9">
        <v>40554</v>
      </c>
      <c r="C179" s="10">
        <v>4832.05</v>
      </c>
      <c r="D179" s="11">
        <v>-9.2799999999999994E-2</v>
      </c>
      <c r="E179" s="13">
        <f t="shared" si="5"/>
        <v>4.4925718487122346E-2</v>
      </c>
    </row>
    <row r="180" spans="2:5" x14ac:dyDescent="0.3">
      <c r="B180" s="9">
        <v>40553</v>
      </c>
      <c r="C180" s="10">
        <v>5326.6</v>
      </c>
      <c r="D180" s="11">
        <v>7.7600000000000002E-2</v>
      </c>
      <c r="E180" s="13">
        <f t="shared" si="5"/>
        <v>0.10234786477788926</v>
      </c>
    </row>
    <row r="181" spans="2:5" x14ac:dyDescent="0.3">
      <c r="B181" s="9">
        <v>40552</v>
      </c>
      <c r="C181" s="10">
        <v>4943.25</v>
      </c>
      <c r="D181" s="11">
        <v>-1.15E-2</v>
      </c>
      <c r="E181" s="13">
        <f t="shared" si="5"/>
        <v>-7.1968985844628852E-2</v>
      </c>
    </row>
    <row r="182" spans="2:5" x14ac:dyDescent="0.3">
      <c r="B182" s="9">
        <v>40551</v>
      </c>
      <c r="C182" s="10">
        <v>5001</v>
      </c>
      <c r="D182" s="11">
        <v>-8.77E-2</v>
      </c>
      <c r="E182" s="13">
        <f t="shared" si="5"/>
        <v>1.1682597481414092E-2</v>
      </c>
    </row>
    <row r="183" spans="2:5" x14ac:dyDescent="0.3">
      <c r="B183" s="9">
        <v>40550</v>
      </c>
      <c r="C183" s="10">
        <v>5482</v>
      </c>
      <c r="D183" s="11">
        <v>-2.93E-2</v>
      </c>
      <c r="E183" s="13">
        <f t="shared" si="5"/>
        <v>9.618076384723051E-2</v>
      </c>
    </row>
    <row r="184" spans="2:5" x14ac:dyDescent="0.3">
      <c r="B184" s="9">
        <v>40549</v>
      </c>
      <c r="C184" s="10">
        <v>5647.4</v>
      </c>
      <c r="D184" s="11">
        <v>1.5699999999999999E-2</v>
      </c>
      <c r="E184" s="13">
        <f t="shared" si="5"/>
        <v>3.017147026632605E-2</v>
      </c>
    </row>
    <row r="185" spans="2:5" x14ac:dyDescent="0.3">
      <c r="B185" s="9">
        <v>40548</v>
      </c>
      <c r="C185" s="10">
        <v>5560.15</v>
      </c>
      <c r="D185" s="11">
        <v>-3.2899999999999999E-2</v>
      </c>
      <c r="E185" s="13">
        <f t="shared" si="5"/>
        <v>-1.5449587420759969E-2</v>
      </c>
    </row>
    <row r="186" spans="2:5" x14ac:dyDescent="0.3">
      <c r="B186" s="9">
        <v>40547</v>
      </c>
      <c r="C186" s="10">
        <v>5749.5</v>
      </c>
      <c r="D186" s="11">
        <v>-1.44E-2</v>
      </c>
      <c r="E186" s="13">
        <f t="shared" si="5"/>
        <v>3.4054836650090348E-2</v>
      </c>
    </row>
    <row r="187" spans="2:5" x14ac:dyDescent="0.3">
      <c r="B187" s="9">
        <v>40546</v>
      </c>
      <c r="C187" s="10">
        <v>5833.75</v>
      </c>
      <c r="D187" s="11">
        <v>9.3799999999999994E-2</v>
      </c>
      <c r="E187" s="13">
        <f t="shared" si="5"/>
        <v>1.4653448125923951E-2</v>
      </c>
    </row>
    <row r="188" spans="2:5" x14ac:dyDescent="0.3">
      <c r="B188" s="9">
        <v>40545</v>
      </c>
      <c r="C188" s="10">
        <v>5333.25</v>
      </c>
      <c r="D188" s="11">
        <v>-3.1399999999999997E-2</v>
      </c>
      <c r="E188" s="13">
        <f t="shared" si="5"/>
        <v>-8.5793871866295279E-2</v>
      </c>
    </row>
    <row r="189" spans="2:5" x14ac:dyDescent="0.3">
      <c r="B189" s="9">
        <v>40544</v>
      </c>
      <c r="C189" s="10">
        <v>5505.9</v>
      </c>
      <c r="D189" s="11">
        <v>-0.10249999999999999</v>
      </c>
      <c r="E189" s="13">
        <f t="shared" si="5"/>
        <v>3.2372380818450175E-2</v>
      </c>
    </row>
    <row r="190" spans="2:5" x14ac:dyDescent="0.3">
      <c r="B190" s="9">
        <v>40190</v>
      </c>
      <c r="C190" s="10">
        <v>6134.5</v>
      </c>
      <c r="D190" s="11">
        <v>4.6399999999999997E-2</v>
      </c>
      <c r="E190" s="13">
        <f t="shared" si="5"/>
        <v>0.11416843749432437</v>
      </c>
    </row>
    <row r="191" spans="2:5" x14ac:dyDescent="0.3">
      <c r="B191" s="9">
        <v>40189</v>
      </c>
      <c r="C191" s="10">
        <v>5862.7</v>
      </c>
      <c r="D191" s="11">
        <v>-2.58E-2</v>
      </c>
      <c r="E191" s="13">
        <f t="shared" si="5"/>
        <v>-4.4306789469394481E-2</v>
      </c>
    </row>
    <row r="192" spans="2:5" x14ac:dyDescent="0.3">
      <c r="B192" s="9">
        <v>40188</v>
      </c>
      <c r="C192" s="10">
        <v>6017.7</v>
      </c>
      <c r="D192" s="11">
        <v>-2E-3</v>
      </c>
      <c r="E192" s="13">
        <f t="shared" si="5"/>
        <v>2.6438330462073889E-2</v>
      </c>
    </row>
    <row r="193" spans="2:5" x14ac:dyDescent="0.3">
      <c r="B193" s="9">
        <v>40187</v>
      </c>
      <c r="C193" s="10">
        <v>6029.95</v>
      </c>
      <c r="D193" s="11">
        <v>0.1162</v>
      </c>
      <c r="E193" s="13">
        <f t="shared" si="5"/>
        <v>2.035661465343841E-3</v>
      </c>
    </row>
    <row r="194" spans="2:5" x14ac:dyDescent="0.3">
      <c r="B194" s="9">
        <v>40186</v>
      </c>
      <c r="C194" s="10">
        <v>5402.4</v>
      </c>
      <c r="D194" s="11">
        <v>6.4999999999999997E-3</v>
      </c>
      <c r="E194" s="13">
        <f t="shared" si="5"/>
        <v>-0.10407217306942851</v>
      </c>
    </row>
    <row r="195" spans="2:5" x14ac:dyDescent="0.3">
      <c r="B195" s="9">
        <v>40185</v>
      </c>
      <c r="C195" s="10">
        <v>5367.6</v>
      </c>
      <c r="D195" s="11">
        <v>1.04E-2</v>
      </c>
      <c r="E195" s="13">
        <f t="shared" si="5"/>
        <v>-6.4415815193246129E-3</v>
      </c>
    </row>
    <row r="196" spans="2:5" x14ac:dyDescent="0.3">
      <c r="B196" s="9">
        <v>40184</v>
      </c>
      <c r="C196" s="10">
        <v>5312.5</v>
      </c>
      <c r="D196" s="11">
        <v>4.4499999999999998E-2</v>
      </c>
      <c r="E196" s="13">
        <f t="shared" si="5"/>
        <v>-1.0265295476563185E-2</v>
      </c>
    </row>
    <row r="197" spans="2:5" x14ac:dyDescent="0.3">
      <c r="B197" s="9">
        <v>40183</v>
      </c>
      <c r="C197" s="10">
        <v>5086.3</v>
      </c>
      <c r="D197" s="11">
        <v>-3.6299999999999999E-2</v>
      </c>
      <c r="E197" s="13">
        <f t="shared" ref="E197:E260" si="6">C197/C196-1</f>
        <v>-4.257882352941178E-2</v>
      </c>
    </row>
    <row r="198" spans="2:5" x14ac:dyDescent="0.3">
      <c r="B198" s="9">
        <v>40182</v>
      </c>
      <c r="C198" s="10">
        <v>5278</v>
      </c>
      <c r="D198" s="11">
        <v>5.4999999999999997E-3</v>
      </c>
      <c r="E198" s="13">
        <f t="shared" si="6"/>
        <v>3.7689479582407648E-2</v>
      </c>
    </row>
    <row r="199" spans="2:5" x14ac:dyDescent="0.3">
      <c r="B199" s="9">
        <v>40181</v>
      </c>
      <c r="C199" s="10">
        <v>5249.1</v>
      </c>
      <c r="D199" s="11">
        <v>6.6400000000000001E-2</v>
      </c>
      <c r="E199" s="13">
        <f t="shared" si="6"/>
        <v>-5.4755589238346669E-3</v>
      </c>
    </row>
    <row r="200" spans="2:5" x14ac:dyDescent="0.3">
      <c r="B200" s="9">
        <v>40180</v>
      </c>
      <c r="C200" s="10">
        <v>4922.3</v>
      </c>
      <c r="D200" s="11">
        <v>8.2000000000000007E-3</v>
      </c>
      <c r="E200" s="13">
        <f t="shared" si="6"/>
        <v>-6.2258291897658635E-2</v>
      </c>
    </row>
    <row r="201" spans="2:5" x14ac:dyDescent="0.3">
      <c r="B201" s="9">
        <v>40179</v>
      </c>
      <c r="C201" s="10">
        <v>4882.05</v>
      </c>
      <c r="D201" s="11">
        <v>-6.13E-2</v>
      </c>
      <c r="E201" s="13">
        <f t="shared" si="6"/>
        <v>-8.1770716941267363E-3</v>
      </c>
    </row>
    <row r="202" spans="2:5" x14ac:dyDescent="0.3">
      <c r="B202" s="9">
        <v>39825</v>
      </c>
      <c r="C202" s="10">
        <v>5201.05</v>
      </c>
      <c r="D202" s="11">
        <v>3.3500000000000002E-2</v>
      </c>
      <c r="E202" s="13">
        <f t="shared" si="6"/>
        <v>6.5341403713603974E-2</v>
      </c>
    </row>
    <row r="203" spans="2:5" x14ac:dyDescent="0.3">
      <c r="B203" s="9">
        <v>39824</v>
      </c>
      <c r="C203" s="10">
        <v>5032.7</v>
      </c>
      <c r="D203" s="11">
        <v>6.8099999999999994E-2</v>
      </c>
      <c r="E203" s="13">
        <f t="shared" si="6"/>
        <v>-3.2368464060141822E-2</v>
      </c>
    </row>
    <row r="204" spans="2:5" x14ac:dyDescent="0.3">
      <c r="B204" s="9">
        <v>39823</v>
      </c>
      <c r="C204" s="10">
        <v>4711.7</v>
      </c>
      <c r="D204" s="11">
        <v>-7.3200000000000001E-2</v>
      </c>
      <c r="E204" s="13">
        <f t="shared" si="6"/>
        <v>-6.3782860094978799E-2</v>
      </c>
    </row>
    <row r="205" spans="2:5" x14ac:dyDescent="0.3">
      <c r="B205" s="9">
        <v>39822</v>
      </c>
      <c r="C205" s="10">
        <v>5083.95</v>
      </c>
      <c r="D205" s="11">
        <v>9.0499999999999997E-2</v>
      </c>
      <c r="E205" s="13">
        <f t="shared" si="6"/>
        <v>7.9005454506865913E-2</v>
      </c>
    </row>
    <row r="206" spans="2:5" x14ac:dyDescent="0.3">
      <c r="B206" s="9">
        <v>39821</v>
      </c>
      <c r="C206" s="10">
        <v>4662.1000000000004</v>
      </c>
      <c r="D206" s="11">
        <v>5.4999999999999997E-3</v>
      </c>
      <c r="E206" s="13">
        <f t="shared" si="6"/>
        <v>-8.2976819205538899E-2</v>
      </c>
    </row>
    <row r="207" spans="2:5" x14ac:dyDescent="0.3">
      <c r="B207" s="9">
        <v>39820</v>
      </c>
      <c r="C207" s="10">
        <v>4636.45</v>
      </c>
      <c r="D207" s="11">
        <v>8.0500000000000002E-2</v>
      </c>
      <c r="E207" s="13">
        <f t="shared" si="6"/>
        <v>-5.5018124879346875E-3</v>
      </c>
    </row>
    <row r="208" spans="2:5" x14ac:dyDescent="0.3">
      <c r="B208" s="9">
        <v>39819</v>
      </c>
      <c r="C208" s="10">
        <v>4291.1000000000004</v>
      </c>
      <c r="D208" s="11">
        <v>-3.5499999999999997E-2</v>
      </c>
      <c r="E208" s="13">
        <f t="shared" si="6"/>
        <v>-7.4485867420116536E-2</v>
      </c>
    </row>
    <row r="209" spans="2:5" x14ac:dyDescent="0.3">
      <c r="B209" s="9">
        <v>39818</v>
      </c>
      <c r="C209" s="10">
        <v>4448.95</v>
      </c>
      <c r="D209" s="11">
        <v>0.28070000000000001</v>
      </c>
      <c r="E209" s="13">
        <f t="shared" si="6"/>
        <v>3.6785439630863781E-2</v>
      </c>
    </row>
    <row r="210" spans="2:5" x14ac:dyDescent="0.3">
      <c r="B210" s="9">
        <v>39817</v>
      </c>
      <c r="C210" s="10">
        <v>3473.95</v>
      </c>
      <c r="D210" s="11">
        <v>0.15</v>
      </c>
      <c r="E210" s="13">
        <f t="shared" si="6"/>
        <v>-0.21915283381472028</v>
      </c>
    </row>
    <row r="211" spans="2:5" x14ac:dyDescent="0.3">
      <c r="B211" s="9">
        <v>39816</v>
      </c>
      <c r="C211" s="10">
        <v>3020.95</v>
      </c>
      <c r="D211" s="11">
        <v>9.3100000000000002E-2</v>
      </c>
      <c r="E211" s="13">
        <f t="shared" si="6"/>
        <v>-0.13039911340117161</v>
      </c>
    </row>
    <row r="212" spans="2:5" x14ac:dyDescent="0.3">
      <c r="B212" s="9">
        <v>39815</v>
      </c>
      <c r="C212" s="10">
        <v>2763.65</v>
      </c>
      <c r="D212" s="11">
        <v>-3.8699999999999998E-2</v>
      </c>
      <c r="E212" s="13">
        <f t="shared" si="6"/>
        <v>-8.5171883016931682E-2</v>
      </c>
    </row>
    <row r="213" spans="2:5" x14ac:dyDescent="0.3">
      <c r="B213" s="9">
        <v>39814</v>
      </c>
      <c r="C213" s="10">
        <v>2874.8</v>
      </c>
      <c r="D213" s="11">
        <v>-2.8500000000000001E-2</v>
      </c>
      <c r="E213" s="13">
        <f t="shared" si="6"/>
        <v>4.0218551553199644E-2</v>
      </c>
    </row>
    <row r="214" spans="2:5" x14ac:dyDescent="0.3">
      <c r="B214" s="9">
        <v>39459</v>
      </c>
      <c r="C214" s="10">
        <v>2959.15</v>
      </c>
      <c r="D214" s="11">
        <v>7.4099999999999999E-2</v>
      </c>
      <c r="E214" s="13">
        <f t="shared" si="6"/>
        <v>2.9341171559760681E-2</v>
      </c>
    </row>
    <row r="215" spans="2:5" x14ac:dyDescent="0.3">
      <c r="B215" s="9">
        <v>39458</v>
      </c>
      <c r="C215" s="10">
        <v>2755.1</v>
      </c>
      <c r="D215" s="11">
        <v>-4.5199999999999997E-2</v>
      </c>
      <c r="E215" s="13">
        <f t="shared" si="6"/>
        <v>-6.8955612253518761E-2</v>
      </c>
    </row>
    <row r="216" spans="2:5" x14ac:dyDescent="0.3">
      <c r="B216" s="9">
        <v>39457</v>
      </c>
      <c r="C216" s="10">
        <v>2885.6</v>
      </c>
      <c r="D216" s="11">
        <v>-0.2641</v>
      </c>
      <c r="E216" s="13">
        <f t="shared" si="6"/>
        <v>4.7366701753112306E-2</v>
      </c>
    </row>
    <row r="217" spans="2:5" x14ac:dyDescent="0.3">
      <c r="B217" s="9">
        <v>39456</v>
      </c>
      <c r="C217" s="10">
        <v>3921.2</v>
      </c>
      <c r="D217" s="11">
        <v>-0.10059999999999999</v>
      </c>
      <c r="E217" s="13">
        <f t="shared" si="6"/>
        <v>0.35888550041585798</v>
      </c>
    </row>
    <row r="218" spans="2:5" x14ac:dyDescent="0.3">
      <c r="B218" s="9">
        <v>39455</v>
      </c>
      <c r="C218" s="10">
        <v>4360</v>
      </c>
      <c r="D218" s="11">
        <v>6.1999999999999998E-3</v>
      </c>
      <c r="E218" s="13">
        <f t="shared" si="6"/>
        <v>0.11190451902478848</v>
      </c>
    </row>
    <row r="219" spans="2:5" x14ac:dyDescent="0.3">
      <c r="B219" s="9">
        <v>39454</v>
      </c>
      <c r="C219" s="10">
        <v>4332.95</v>
      </c>
      <c r="D219" s="11">
        <v>7.2400000000000006E-2</v>
      </c>
      <c r="E219" s="13">
        <f t="shared" si="6"/>
        <v>-6.2041284403669961E-3</v>
      </c>
    </row>
    <row r="220" spans="2:5" x14ac:dyDescent="0.3">
      <c r="B220" s="9">
        <v>39453</v>
      </c>
      <c r="C220" s="10">
        <v>4040.55</v>
      </c>
      <c r="D220" s="11">
        <v>-0.17030000000000001</v>
      </c>
      <c r="E220" s="13">
        <f t="shared" si="6"/>
        <v>-6.7482892717432574E-2</v>
      </c>
    </row>
    <row r="221" spans="2:5" x14ac:dyDescent="0.3">
      <c r="B221" s="9">
        <v>39452</v>
      </c>
      <c r="C221" s="10">
        <v>4870.1000000000004</v>
      </c>
      <c r="D221" s="11">
        <v>-5.7299999999999997E-2</v>
      </c>
      <c r="E221" s="13">
        <f t="shared" si="6"/>
        <v>0.20530620831322466</v>
      </c>
    </row>
    <row r="222" spans="2:5" x14ac:dyDescent="0.3">
      <c r="B222" s="9">
        <v>39451</v>
      </c>
      <c r="C222" s="10">
        <v>5165.8999999999996</v>
      </c>
      <c r="D222" s="11">
        <v>9.11E-2</v>
      </c>
      <c r="E222" s="13">
        <f t="shared" si="6"/>
        <v>6.0737972526231365E-2</v>
      </c>
    </row>
    <row r="223" spans="2:5" x14ac:dyDescent="0.3">
      <c r="B223" s="9">
        <v>39450</v>
      </c>
      <c r="C223" s="10">
        <v>4734.5</v>
      </c>
      <c r="D223" s="11">
        <v>-9.3600000000000003E-2</v>
      </c>
      <c r="E223" s="13">
        <f t="shared" si="6"/>
        <v>-8.3509165876226699E-2</v>
      </c>
    </row>
    <row r="224" spans="2:5" x14ac:dyDescent="0.3">
      <c r="B224" s="9">
        <v>39449</v>
      </c>
      <c r="C224" s="10">
        <v>5223.5</v>
      </c>
      <c r="D224" s="11">
        <v>1.67E-2</v>
      </c>
      <c r="E224" s="13">
        <f t="shared" si="6"/>
        <v>0.1032844017319674</v>
      </c>
    </row>
    <row r="225" spans="2:5" x14ac:dyDescent="0.3">
      <c r="B225" s="9">
        <v>39448</v>
      </c>
      <c r="C225" s="10">
        <v>5137.45</v>
      </c>
      <c r="D225" s="11">
        <v>-0.16309999999999999</v>
      </c>
      <c r="E225" s="13">
        <f t="shared" si="6"/>
        <v>-1.6473628792954997E-2</v>
      </c>
    </row>
    <row r="226" spans="2:5" x14ac:dyDescent="0.3">
      <c r="B226" s="9">
        <v>39094</v>
      </c>
      <c r="C226" s="10">
        <v>6138.6</v>
      </c>
      <c r="D226" s="11">
        <v>6.5199999999999994E-2</v>
      </c>
      <c r="E226" s="13">
        <f t="shared" si="6"/>
        <v>0.19487294280236322</v>
      </c>
    </row>
    <row r="227" spans="2:5" x14ac:dyDescent="0.3">
      <c r="B227" s="9">
        <v>39093</v>
      </c>
      <c r="C227" s="10">
        <v>5762.75</v>
      </c>
      <c r="D227" s="11">
        <v>-2.3400000000000001E-2</v>
      </c>
      <c r="E227" s="13">
        <f t="shared" si="6"/>
        <v>-6.1227315674583838E-2</v>
      </c>
    </row>
    <row r="228" spans="2:5" x14ac:dyDescent="0.3">
      <c r="B228" s="9">
        <v>39092</v>
      </c>
      <c r="C228" s="10">
        <v>5900.65</v>
      </c>
      <c r="D228" s="11">
        <v>0.17510000000000001</v>
      </c>
      <c r="E228" s="13">
        <f t="shared" si="6"/>
        <v>2.3929547525053163E-2</v>
      </c>
    </row>
    <row r="229" spans="2:5" x14ac:dyDescent="0.3">
      <c r="B229" s="9">
        <v>39091</v>
      </c>
      <c r="C229" s="10">
        <v>5021.3500000000004</v>
      </c>
      <c r="D229" s="11">
        <v>0.1249</v>
      </c>
      <c r="E229" s="13">
        <f t="shared" si="6"/>
        <v>-0.14901748112496072</v>
      </c>
    </row>
    <row r="230" spans="2:5" x14ac:dyDescent="0.3">
      <c r="B230" s="9">
        <v>39090</v>
      </c>
      <c r="C230" s="10">
        <v>4464</v>
      </c>
      <c r="D230" s="11">
        <v>-1.43E-2</v>
      </c>
      <c r="E230" s="13">
        <f t="shared" si="6"/>
        <v>-0.11099604687982323</v>
      </c>
    </row>
    <row r="231" spans="2:5" x14ac:dyDescent="0.3">
      <c r="B231" s="9">
        <v>39089</v>
      </c>
      <c r="C231" s="10">
        <v>4528.8500000000004</v>
      </c>
      <c r="D231" s="11">
        <v>4.8800000000000003E-2</v>
      </c>
      <c r="E231" s="13">
        <f t="shared" si="6"/>
        <v>1.4527329749103979E-2</v>
      </c>
    </row>
    <row r="232" spans="2:5" x14ac:dyDescent="0.3">
      <c r="B232" s="9">
        <v>39088</v>
      </c>
      <c r="C232" s="10">
        <v>4318.3</v>
      </c>
      <c r="D232" s="11">
        <v>5.1999999999999998E-3</v>
      </c>
      <c r="E232" s="13">
        <f t="shared" si="6"/>
        <v>-4.6490831005663757E-2</v>
      </c>
    </row>
    <row r="233" spans="2:5" x14ac:dyDescent="0.3">
      <c r="B233" s="9">
        <v>39087</v>
      </c>
      <c r="C233" s="10">
        <v>4295.8</v>
      </c>
      <c r="D233" s="11">
        <v>5.0900000000000001E-2</v>
      </c>
      <c r="E233" s="13">
        <f t="shared" si="6"/>
        <v>-5.2103837158140598E-3</v>
      </c>
    </row>
    <row r="234" spans="2:5" x14ac:dyDescent="0.3">
      <c r="B234" s="9">
        <v>39086</v>
      </c>
      <c r="C234" s="10">
        <v>4087.9</v>
      </c>
      <c r="D234" s="11">
        <v>6.9699999999999998E-2</v>
      </c>
      <c r="E234" s="13">
        <f t="shared" si="6"/>
        <v>-4.8396107826248924E-2</v>
      </c>
    </row>
    <row r="235" spans="2:5" x14ac:dyDescent="0.3">
      <c r="B235" s="9">
        <v>39085</v>
      </c>
      <c r="C235" s="10">
        <v>3821.55</v>
      </c>
      <c r="D235" s="11">
        <v>2.0400000000000001E-2</v>
      </c>
      <c r="E235" s="13">
        <f t="shared" si="6"/>
        <v>-6.5155703417402511E-2</v>
      </c>
    </row>
    <row r="236" spans="2:5" x14ac:dyDescent="0.3">
      <c r="B236" s="9">
        <v>39084</v>
      </c>
      <c r="C236" s="10">
        <v>3745.3</v>
      </c>
      <c r="D236" s="11">
        <v>-8.2600000000000007E-2</v>
      </c>
      <c r="E236" s="13">
        <f t="shared" si="6"/>
        <v>-1.9952637019010622E-2</v>
      </c>
    </row>
    <row r="237" spans="2:5" x14ac:dyDescent="0.3">
      <c r="B237" s="9">
        <v>39083</v>
      </c>
      <c r="C237" s="10">
        <v>4082.7</v>
      </c>
      <c r="D237" s="11">
        <v>2.93E-2</v>
      </c>
      <c r="E237" s="13">
        <f t="shared" si="6"/>
        <v>9.0086241422582924E-2</v>
      </c>
    </row>
    <row r="238" spans="2:5" x14ac:dyDescent="0.3">
      <c r="B238" s="9">
        <v>38729</v>
      </c>
      <c r="C238" s="10">
        <v>3966.4</v>
      </c>
      <c r="D238" s="11">
        <v>3.0000000000000001E-3</v>
      </c>
      <c r="E238" s="13">
        <f t="shared" si="6"/>
        <v>-2.8486050897690185E-2</v>
      </c>
    </row>
    <row r="239" spans="2:5" x14ac:dyDescent="0.3">
      <c r="B239" s="9">
        <v>38728</v>
      </c>
      <c r="C239" s="10">
        <v>3954.5</v>
      </c>
      <c r="D239" s="11">
        <v>5.62E-2</v>
      </c>
      <c r="E239" s="13">
        <f t="shared" si="6"/>
        <v>-3.0002016942315413E-3</v>
      </c>
    </row>
    <row r="240" spans="2:5" x14ac:dyDescent="0.3">
      <c r="B240" s="9">
        <v>38727</v>
      </c>
      <c r="C240" s="10">
        <v>3744.1</v>
      </c>
      <c r="D240" s="11">
        <v>4.3400000000000001E-2</v>
      </c>
      <c r="E240" s="13">
        <f t="shared" si="6"/>
        <v>-5.3205209255278829E-2</v>
      </c>
    </row>
    <row r="241" spans="2:5" x14ac:dyDescent="0.3">
      <c r="B241" s="9">
        <v>38726</v>
      </c>
      <c r="C241" s="10">
        <v>3588.4</v>
      </c>
      <c r="D241" s="11">
        <v>5.11E-2</v>
      </c>
      <c r="E241" s="13">
        <f t="shared" si="6"/>
        <v>-4.1585427739643688E-2</v>
      </c>
    </row>
    <row r="242" spans="2:5" x14ac:dyDescent="0.3">
      <c r="B242" s="9">
        <v>38725</v>
      </c>
      <c r="C242" s="10">
        <v>3413.9</v>
      </c>
      <c r="D242" s="11">
        <v>8.6099999999999996E-2</v>
      </c>
      <c r="E242" s="13">
        <f t="shared" si="6"/>
        <v>-4.8628915394047456E-2</v>
      </c>
    </row>
    <row r="243" spans="2:5" x14ac:dyDescent="0.3">
      <c r="B243" s="9">
        <v>38724</v>
      </c>
      <c r="C243" s="10">
        <v>3143.2</v>
      </c>
      <c r="D243" s="11">
        <v>4.7999999999999996E-3</v>
      </c>
      <c r="E243" s="13">
        <f t="shared" si="6"/>
        <v>-7.929347666891251E-2</v>
      </c>
    </row>
    <row r="244" spans="2:5" x14ac:dyDescent="0.3">
      <c r="B244" s="9">
        <v>38723</v>
      </c>
      <c r="C244" s="10">
        <v>3128.2</v>
      </c>
      <c r="D244" s="11">
        <v>1.8599999999999998E-2</v>
      </c>
      <c r="E244" s="13">
        <f t="shared" si="6"/>
        <v>-4.7722066683634212E-3</v>
      </c>
    </row>
    <row r="245" spans="2:5" x14ac:dyDescent="0.3">
      <c r="B245" s="9">
        <v>38722</v>
      </c>
      <c r="C245" s="10">
        <v>3071.05</v>
      </c>
      <c r="D245" s="11">
        <v>-0.1368</v>
      </c>
      <c r="E245" s="13">
        <f t="shared" si="6"/>
        <v>-1.8269292244741275E-2</v>
      </c>
    </row>
    <row r="246" spans="2:5" x14ac:dyDescent="0.3">
      <c r="B246" s="9">
        <v>38721</v>
      </c>
      <c r="C246" s="10">
        <v>3557.6</v>
      </c>
      <c r="D246" s="11">
        <v>4.5600000000000002E-2</v>
      </c>
      <c r="E246" s="13">
        <f t="shared" si="6"/>
        <v>0.15843115546799935</v>
      </c>
    </row>
    <row r="247" spans="2:5" x14ac:dyDescent="0.3">
      <c r="B247" s="9">
        <v>38720</v>
      </c>
      <c r="C247" s="10">
        <v>3402.55</v>
      </c>
      <c r="D247" s="11">
        <v>0.1066</v>
      </c>
      <c r="E247" s="13">
        <f t="shared" si="6"/>
        <v>-4.3582752417359982E-2</v>
      </c>
    </row>
    <row r="248" spans="2:5" x14ac:dyDescent="0.3">
      <c r="B248" s="9">
        <v>38719</v>
      </c>
      <c r="C248" s="10">
        <v>3074.7</v>
      </c>
      <c r="D248" s="11">
        <v>2.4500000000000001E-2</v>
      </c>
      <c r="E248" s="13">
        <f t="shared" si="6"/>
        <v>-9.6354204934534504E-2</v>
      </c>
    </row>
    <row r="249" spans="2:5" x14ac:dyDescent="0.3">
      <c r="B249" s="9">
        <v>38718</v>
      </c>
      <c r="C249" s="10">
        <v>3001.1</v>
      </c>
      <c r="D249" s="11">
        <v>5.8000000000000003E-2</v>
      </c>
      <c r="E249" s="13">
        <f t="shared" si="6"/>
        <v>-2.3937294695417388E-2</v>
      </c>
    </row>
    <row r="250" spans="2:5" x14ac:dyDescent="0.3">
      <c r="B250" s="9">
        <v>38364</v>
      </c>
      <c r="C250" s="10">
        <v>2836.55</v>
      </c>
      <c r="D250" s="11">
        <v>6.9500000000000006E-2</v>
      </c>
      <c r="E250" s="13">
        <f t="shared" si="6"/>
        <v>-5.4829895704908149E-2</v>
      </c>
    </row>
    <row r="251" spans="2:5" x14ac:dyDescent="0.3">
      <c r="B251" s="9">
        <v>38363</v>
      </c>
      <c r="C251" s="10">
        <v>2652.25</v>
      </c>
      <c r="D251" s="11">
        <v>0.1186</v>
      </c>
      <c r="E251" s="13">
        <f t="shared" si="6"/>
        <v>-6.4973295023884714E-2</v>
      </c>
    </row>
    <row r="252" spans="2:5" x14ac:dyDescent="0.3">
      <c r="B252" s="9">
        <v>38362</v>
      </c>
      <c r="C252" s="10">
        <v>2370.9499999999998</v>
      </c>
      <c r="D252" s="11">
        <v>-8.8599999999999998E-2</v>
      </c>
      <c r="E252" s="13">
        <f t="shared" si="6"/>
        <v>-0.10606089169573008</v>
      </c>
    </row>
    <row r="253" spans="2:5" x14ac:dyDescent="0.3">
      <c r="B253" s="9">
        <v>38361</v>
      </c>
      <c r="C253" s="10">
        <v>2601.4</v>
      </c>
      <c r="D253" s="11">
        <v>9.0899999999999995E-2</v>
      </c>
      <c r="E253" s="13">
        <f t="shared" si="6"/>
        <v>9.7197325966384973E-2</v>
      </c>
    </row>
    <row r="254" spans="2:5" x14ac:dyDescent="0.3">
      <c r="B254" s="9">
        <v>38360</v>
      </c>
      <c r="C254" s="10">
        <v>2384.65</v>
      </c>
      <c r="D254" s="11">
        <v>3.1300000000000001E-2</v>
      </c>
      <c r="E254" s="13">
        <f t="shared" si="6"/>
        <v>-8.3320519720150643E-2</v>
      </c>
    </row>
    <row r="255" spans="2:5" x14ac:dyDescent="0.3">
      <c r="B255" s="9">
        <v>38359</v>
      </c>
      <c r="C255" s="10">
        <v>2312.3000000000002</v>
      </c>
      <c r="D255" s="11">
        <v>4.1300000000000003E-2</v>
      </c>
      <c r="E255" s="13">
        <f t="shared" si="6"/>
        <v>-3.0339882163000875E-2</v>
      </c>
    </row>
    <row r="256" spans="2:5" x14ac:dyDescent="0.3">
      <c r="B256" s="9">
        <v>38358</v>
      </c>
      <c r="C256" s="10">
        <v>2220.6</v>
      </c>
      <c r="D256" s="11">
        <v>6.3700000000000007E-2</v>
      </c>
      <c r="E256" s="13">
        <f t="shared" si="6"/>
        <v>-3.9657483890498724E-2</v>
      </c>
    </row>
    <row r="257" spans="2:5" x14ac:dyDescent="0.3">
      <c r="B257" s="9">
        <v>38357</v>
      </c>
      <c r="C257" s="10">
        <v>2087.5500000000002</v>
      </c>
      <c r="D257" s="11">
        <v>9.7299999999999998E-2</v>
      </c>
      <c r="E257" s="13">
        <f t="shared" si="6"/>
        <v>-5.991623885436359E-2</v>
      </c>
    </row>
    <row r="258" spans="2:5" x14ac:dyDescent="0.3">
      <c r="B258" s="9">
        <v>38356</v>
      </c>
      <c r="C258" s="10">
        <v>1902.5</v>
      </c>
      <c r="D258" s="11">
        <v>-6.54E-2</v>
      </c>
      <c r="E258" s="13">
        <f t="shared" si="6"/>
        <v>-8.8644583363272855E-2</v>
      </c>
    </row>
    <row r="259" spans="2:5" x14ac:dyDescent="0.3">
      <c r="B259" s="9">
        <v>38355</v>
      </c>
      <c r="C259" s="10">
        <v>2035.65</v>
      </c>
      <c r="D259" s="11">
        <v>-3.2099999999999997E-2</v>
      </c>
      <c r="E259" s="13">
        <f t="shared" si="6"/>
        <v>6.9986859395532175E-2</v>
      </c>
    </row>
    <row r="260" spans="2:5" x14ac:dyDescent="0.3">
      <c r="B260" s="9">
        <v>38354</v>
      </c>
      <c r="C260" s="10">
        <v>2103.25</v>
      </c>
      <c r="D260" s="11">
        <v>2.2200000000000001E-2</v>
      </c>
      <c r="E260" s="13">
        <f t="shared" si="6"/>
        <v>3.3208066219635013E-2</v>
      </c>
    </row>
    <row r="261" spans="2:5" x14ac:dyDescent="0.3">
      <c r="B261" s="9">
        <v>38353</v>
      </c>
      <c r="C261" s="10">
        <v>2057.6</v>
      </c>
      <c r="D261" s="11">
        <v>-1.0999999999999999E-2</v>
      </c>
      <c r="E261" s="13">
        <f t="shared" ref="E261:E320" si="7">C261/C260-1</f>
        <v>-2.1704504932842039E-2</v>
      </c>
    </row>
    <row r="262" spans="2:5" x14ac:dyDescent="0.3">
      <c r="B262" s="9">
        <v>37998</v>
      </c>
      <c r="C262" s="10">
        <v>2080.5</v>
      </c>
      <c r="D262" s="11">
        <v>6.2100000000000002E-2</v>
      </c>
      <c r="E262" s="13">
        <f t="shared" si="7"/>
        <v>1.112947122861585E-2</v>
      </c>
    </row>
    <row r="263" spans="2:5" x14ac:dyDescent="0.3">
      <c r="B263" s="9">
        <v>37997</v>
      </c>
      <c r="C263" s="10">
        <v>1958.8</v>
      </c>
      <c r="D263" s="11">
        <v>9.6199999999999994E-2</v>
      </c>
      <c r="E263" s="13">
        <f t="shared" si="7"/>
        <v>-5.8495553953376578E-2</v>
      </c>
    </row>
    <row r="264" spans="2:5" x14ac:dyDescent="0.3">
      <c r="B264" s="9">
        <v>37996</v>
      </c>
      <c r="C264" s="10">
        <v>1786.9</v>
      </c>
      <c r="D264" s="11">
        <v>2.3699999999999999E-2</v>
      </c>
      <c r="E264" s="13">
        <f t="shared" si="7"/>
        <v>-8.7757810904635414E-2</v>
      </c>
    </row>
    <row r="265" spans="2:5" x14ac:dyDescent="0.3">
      <c r="B265" s="9">
        <v>37995</v>
      </c>
      <c r="C265" s="10">
        <v>1745.5</v>
      </c>
      <c r="D265" s="11">
        <v>6.9699999999999998E-2</v>
      </c>
      <c r="E265" s="13">
        <f t="shared" si="7"/>
        <v>-2.3168616038950152E-2</v>
      </c>
    </row>
    <row r="266" spans="2:5" x14ac:dyDescent="0.3">
      <c r="B266" s="9">
        <v>37994</v>
      </c>
      <c r="C266" s="10">
        <v>1631.75</v>
      </c>
      <c r="D266" s="11">
        <v>-2.9999999999999997E-4</v>
      </c>
      <c r="E266" s="13">
        <f t="shared" si="7"/>
        <v>-6.5167573761099939E-2</v>
      </c>
    </row>
    <row r="267" spans="2:5" x14ac:dyDescent="0.3">
      <c r="B267" s="9">
        <v>37993</v>
      </c>
      <c r="C267" s="10">
        <v>1632.3</v>
      </c>
      <c r="D267" s="11">
        <v>8.4199999999999997E-2</v>
      </c>
      <c r="E267" s="13">
        <f t="shared" si="7"/>
        <v>3.3706143710743319E-4</v>
      </c>
    </row>
    <row r="268" spans="2:5" x14ac:dyDescent="0.3">
      <c r="B268" s="9">
        <v>37992</v>
      </c>
      <c r="C268" s="10">
        <v>1505.6</v>
      </c>
      <c r="D268" s="11">
        <v>1.4800000000000001E-2</v>
      </c>
      <c r="E268" s="13">
        <f t="shared" si="7"/>
        <v>-7.7620535440789062E-2</v>
      </c>
    </row>
    <row r="269" spans="2:5" x14ac:dyDescent="0.3">
      <c r="B269" s="9">
        <v>37991</v>
      </c>
      <c r="C269" s="10">
        <v>1483.6</v>
      </c>
      <c r="D269" s="11">
        <v>-0.17399999999999999</v>
      </c>
      <c r="E269" s="13">
        <f t="shared" si="7"/>
        <v>-1.4612114771519691E-2</v>
      </c>
    </row>
    <row r="270" spans="2:5" x14ac:dyDescent="0.3">
      <c r="B270" s="9">
        <v>37990</v>
      </c>
      <c r="C270" s="10">
        <v>1796.1</v>
      </c>
      <c r="D270" s="11">
        <v>1.37E-2</v>
      </c>
      <c r="E270" s="13">
        <f t="shared" si="7"/>
        <v>0.21063629010514973</v>
      </c>
    </row>
    <row r="271" spans="2:5" x14ac:dyDescent="0.3">
      <c r="B271" s="9">
        <v>37989</v>
      </c>
      <c r="C271" s="10">
        <v>1771.9</v>
      </c>
      <c r="D271" s="11">
        <v>-1.5800000000000002E-2</v>
      </c>
      <c r="E271" s="13">
        <f t="shared" si="7"/>
        <v>-1.3473637325315813E-2</v>
      </c>
    </row>
    <row r="272" spans="2:5" x14ac:dyDescent="0.3">
      <c r="B272" s="9">
        <v>37988</v>
      </c>
      <c r="C272" s="10">
        <v>1800.3</v>
      </c>
      <c r="D272" s="11">
        <v>-5.1999999999999998E-3</v>
      </c>
      <c r="E272" s="13">
        <f t="shared" si="7"/>
        <v>1.6027992550369685E-2</v>
      </c>
    </row>
    <row r="273" spans="2:5" x14ac:dyDescent="0.3">
      <c r="B273" s="9">
        <v>37987</v>
      </c>
      <c r="C273" s="10">
        <v>1809.75</v>
      </c>
      <c r="D273" s="11">
        <v>-3.7199999999999997E-2</v>
      </c>
      <c r="E273" s="13">
        <f t="shared" si="7"/>
        <v>5.2491251458091082E-3</v>
      </c>
    </row>
    <row r="274" spans="2:5" x14ac:dyDescent="0.3">
      <c r="B274" s="9">
        <v>37633</v>
      </c>
      <c r="C274" s="10">
        <v>1879.75</v>
      </c>
      <c r="D274" s="11">
        <v>0.1638</v>
      </c>
      <c r="E274" s="13">
        <f t="shared" si="7"/>
        <v>3.8679375604365296E-2</v>
      </c>
    </row>
    <row r="275" spans="2:5" x14ac:dyDescent="0.3">
      <c r="B275" s="9">
        <v>37632</v>
      </c>
      <c r="C275" s="10">
        <v>1615.25</v>
      </c>
      <c r="D275" s="11">
        <v>3.8100000000000002E-2</v>
      </c>
      <c r="E275" s="13">
        <f t="shared" si="7"/>
        <v>-0.14071020082457775</v>
      </c>
    </row>
    <row r="276" spans="2:5" x14ac:dyDescent="0.3">
      <c r="B276" s="9">
        <v>37631</v>
      </c>
      <c r="C276" s="10">
        <v>1555.9</v>
      </c>
      <c r="D276" s="11">
        <v>9.7900000000000001E-2</v>
      </c>
      <c r="E276" s="13">
        <f t="shared" si="7"/>
        <v>-3.674353815198883E-2</v>
      </c>
    </row>
    <row r="277" spans="2:5" x14ac:dyDescent="0.3">
      <c r="B277" s="9">
        <v>37630</v>
      </c>
      <c r="C277" s="10">
        <v>1417.1</v>
      </c>
      <c r="D277" s="11">
        <v>4.4600000000000001E-2</v>
      </c>
      <c r="E277" s="13">
        <f t="shared" si="7"/>
        <v>-8.9208818047432414E-2</v>
      </c>
    </row>
    <row r="278" spans="2:5" x14ac:dyDescent="0.3">
      <c r="B278" s="9">
        <v>37629</v>
      </c>
      <c r="C278" s="10">
        <v>1356.55</v>
      </c>
      <c r="D278" s="11">
        <v>0.1439</v>
      </c>
      <c r="E278" s="13">
        <f t="shared" si="7"/>
        <v>-4.272810669677507E-2</v>
      </c>
    </row>
    <row r="279" spans="2:5" x14ac:dyDescent="0.3">
      <c r="B279" s="9">
        <v>37628</v>
      </c>
      <c r="C279" s="10">
        <v>1185.8499999999999</v>
      </c>
      <c r="D279" s="11">
        <v>4.5600000000000002E-2</v>
      </c>
      <c r="E279" s="13">
        <f t="shared" si="7"/>
        <v>-0.12583391692160262</v>
      </c>
    </row>
    <row r="280" spans="2:5" x14ac:dyDescent="0.3">
      <c r="B280" s="9">
        <v>37627</v>
      </c>
      <c r="C280" s="10">
        <v>1134.1500000000001</v>
      </c>
      <c r="D280" s="11">
        <v>0.1265</v>
      </c>
      <c r="E280" s="13">
        <f t="shared" si="7"/>
        <v>-4.359741957245844E-2</v>
      </c>
    </row>
    <row r="281" spans="2:5" x14ac:dyDescent="0.3">
      <c r="B281" s="9">
        <v>37626</v>
      </c>
      <c r="C281" s="10">
        <v>1006.8</v>
      </c>
      <c r="D281" s="11">
        <v>7.7899999999999997E-2</v>
      </c>
      <c r="E281" s="13">
        <f t="shared" si="7"/>
        <v>-0.11228673455892091</v>
      </c>
    </row>
    <row r="282" spans="2:5" x14ac:dyDescent="0.3">
      <c r="B282" s="9">
        <v>37625</v>
      </c>
      <c r="C282" s="10">
        <v>934.05</v>
      </c>
      <c r="D282" s="11">
        <v>-4.5100000000000001E-2</v>
      </c>
      <c r="E282" s="13">
        <f t="shared" si="7"/>
        <v>-7.2258641239570931E-2</v>
      </c>
    </row>
    <row r="283" spans="2:5" x14ac:dyDescent="0.3">
      <c r="B283" s="9">
        <v>37624</v>
      </c>
      <c r="C283" s="10">
        <v>978.2</v>
      </c>
      <c r="D283" s="11">
        <v>-8.0100000000000005E-2</v>
      </c>
      <c r="E283" s="13">
        <f t="shared" si="7"/>
        <v>4.7267276912370981E-2</v>
      </c>
    </row>
    <row r="284" spans="2:5" x14ac:dyDescent="0.3">
      <c r="B284" s="9">
        <v>37623</v>
      </c>
      <c r="C284" s="10">
        <v>1063.4000000000001</v>
      </c>
      <c r="D284" s="11">
        <v>2.07E-2</v>
      </c>
      <c r="E284" s="13">
        <f t="shared" si="7"/>
        <v>8.7098752811286095E-2</v>
      </c>
    </row>
    <row r="285" spans="2:5" x14ac:dyDescent="0.3">
      <c r="B285" s="9">
        <v>37622</v>
      </c>
      <c r="C285" s="10">
        <v>1041.8499999999999</v>
      </c>
      <c r="D285" s="11">
        <v>-4.7199999999999999E-2</v>
      </c>
      <c r="E285" s="13">
        <f t="shared" si="7"/>
        <v>-2.0265187135602991E-2</v>
      </c>
    </row>
    <row r="286" spans="2:5" x14ac:dyDescent="0.3">
      <c r="B286" s="9">
        <v>37268</v>
      </c>
      <c r="C286" s="10">
        <v>1093.5</v>
      </c>
      <c r="D286" s="11">
        <v>4.1300000000000003E-2</v>
      </c>
      <c r="E286" s="13">
        <f t="shared" si="7"/>
        <v>4.9575274751643805E-2</v>
      </c>
    </row>
    <row r="287" spans="2:5" x14ac:dyDescent="0.3">
      <c r="B287" s="9">
        <v>37267</v>
      </c>
      <c r="C287" s="10">
        <v>1050.1500000000001</v>
      </c>
      <c r="D287" s="11">
        <v>0.1038</v>
      </c>
      <c r="E287" s="13">
        <f t="shared" si="7"/>
        <v>-3.9643347050754341E-2</v>
      </c>
    </row>
    <row r="288" spans="2:5" x14ac:dyDescent="0.3">
      <c r="B288" s="9">
        <v>37266</v>
      </c>
      <c r="C288" s="10">
        <v>951.4</v>
      </c>
      <c r="D288" s="11">
        <v>-1.2200000000000001E-2</v>
      </c>
      <c r="E288" s="13">
        <f t="shared" si="7"/>
        <v>-9.4034185592534514E-2</v>
      </c>
    </row>
    <row r="289" spans="2:5" x14ac:dyDescent="0.3">
      <c r="B289" s="9">
        <v>37265</v>
      </c>
      <c r="C289" s="10">
        <v>963.15</v>
      </c>
      <c r="D289" s="11">
        <v>-4.7E-2</v>
      </c>
      <c r="E289" s="13">
        <f t="shared" si="7"/>
        <v>1.2350220727349148E-2</v>
      </c>
    </row>
    <row r="290" spans="2:5" x14ac:dyDescent="0.3">
      <c r="B290" s="9">
        <v>37264</v>
      </c>
      <c r="C290" s="10">
        <v>1010.6</v>
      </c>
      <c r="D290" s="11">
        <v>5.3900000000000003E-2</v>
      </c>
      <c r="E290" s="13">
        <f t="shared" si="7"/>
        <v>4.9265431137413662E-2</v>
      </c>
    </row>
    <row r="291" spans="2:5" x14ac:dyDescent="0.3">
      <c r="B291" s="9">
        <v>37263</v>
      </c>
      <c r="C291" s="10">
        <v>958.9</v>
      </c>
      <c r="D291" s="11">
        <v>-9.35E-2</v>
      </c>
      <c r="E291" s="13">
        <f t="shared" si="7"/>
        <v>-5.1157728082327325E-2</v>
      </c>
    </row>
    <row r="292" spans="2:5" x14ac:dyDescent="0.3">
      <c r="B292" s="9">
        <v>37262</v>
      </c>
      <c r="C292" s="10">
        <v>1057.8</v>
      </c>
      <c r="D292" s="11">
        <v>2.8199999999999999E-2</v>
      </c>
      <c r="E292" s="13">
        <f t="shared" si="7"/>
        <v>0.10313901345291487</v>
      </c>
    </row>
    <row r="293" spans="2:5" x14ac:dyDescent="0.3">
      <c r="B293" s="9">
        <v>37261</v>
      </c>
      <c r="C293" s="10">
        <v>1028.8</v>
      </c>
      <c r="D293" s="11">
        <v>-5.1400000000000001E-2</v>
      </c>
      <c r="E293" s="13">
        <f t="shared" si="7"/>
        <v>-2.741539043297414E-2</v>
      </c>
    </row>
    <row r="294" spans="2:5" x14ac:dyDescent="0.3">
      <c r="B294" s="9">
        <v>37260</v>
      </c>
      <c r="C294" s="10">
        <v>1084.5</v>
      </c>
      <c r="D294" s="11">
        <v>-3.9899999999999998E-2</v>
      </c>
      <c r="E294" s="13">
        <f t="shared" si="7"/>
        <v>5.4140746500777714E-2</v>
      </c>
    </row>
    <row r="295" spans="2:5" x14ac:dyDescent="0.3">
      <c r="B295" s="9">
        <v>37259</v>
      </c>
      <c r="C295" s="10">
        <v>1129.55</v>
      </c>
      <c r="D295" s="11">
        <v>-1.09E-2</v>
      </c>
      <c r="E295" s="13">
        <f t="shared" si="7"/>
        <v>4.15398801290916E-2</v>
      </c>
    </row>
    <row r="296" spans="2:5" x14ac:dyDescent="0.3">
      <c r="B296" s="9">
        <v>37258</v>
      </c>
      <c r="C296" s="10">
        <v>1142.05</v>
      </c>
      <c r="D296" s="11">
        <v>6.2E-2</v>
      </c>
      <c r="E296" s="13">
        <f t="shared" si="7"/>
        <v>1.1066353857730915E-2</v>
      </c>
    </row>
    <row r="297" spans="2:5" x14ac:dyDescent="0.3">
      <c r="B297" s="9">
        <v>37257</v>
      </c>
      <c r="C297" s="10">
        <v>1075.4000000000001</v>
      </c>
      <c r="D297" s="11">
        <v>1.54E-2</v>
      </c>
      <c r="E297" s="13">
        <f t="shared" si="7"/>
        <v>-5.8359966726500456E-2</v>
      </c>
    </row>
    <row r="298" spans="2:5" x14ac:dyDescent="0.3">
      <c r="B298" s="9">
        <v>36903</v>
      </c>
      <c r="C298" s="10">
        <v>1059.05</v>
      </c>
      <c r="D298" s="11">
        <v>-7.6E-3</v>
      </c>
      <c r="E298" s="13">
        <f t="shared" si="7"/>
        <v>-1.5203645155291157E-2</v>
      </c>
    </row>
    <row r="299" spans="2:5" x14ac:dyDescent="0.3">
      <c r="B299" s="9">
        <v>36902</v>
      </c>
      <c r="C299" s="10">
        <v>1067.1500000000001</v>
      </c>
      <c r="D299" s="11">
        <v>9.8000000000000004E-2</v>
      </c>
      <c r="E299" s="13">
        <f t="shared" si="7"/>
        <v>7.648364099900995E-3</v>
      </c>
    </row>
    <row r="300" spans="2:5" x14ac:dyDescent="0.3">
      <c r="B300" s="9">
        <v>36901</v>
      </c>
      <c r="C300" s="10">
        <v>971.9</v>
      </c>
      <c r="D300" s="11">
        <v>6.3500000000000001E-2</v>
      </c>
      <c r="E300" s="13">
        <f t="shared" si="7"/>
        <v>-8.9256430679848342E-2</v>
      </c>
    </row>
    <row r="301" spans="2:5" x14ac:dyDescent="0.3">
      <c r="B301" s="9">
        <v>36900</v>
      </c>
      <c r="C301" s="10">
        <v>913.85</v>
      </c>
      <c r="D301" s="11">
        <v>-0.1328</v>
      </c>
      <c r="E301" s="13">
        <f t="shared" si="7"/>
        <v>-5.9728367115958414E-2</v>
      </c>
    </row>
    <row r="302" spans="2:5" x14ac:dyDescent="0.3">
      <c r="B302" s="9">
        <v>36899</v>
      </c>
      <c r="C302" s="10">
        <v>1053.75</v>
      </c>
      <c r="D302" s="11">
        <v>-1.78E-2</v>
      </c>
      <c r="E302" s="13">
        <f t="shared" si="7"/>
        <v>0.15308858127701486</v>
      </c>
    </row>
    <row r="303" spans="2:5" x14ac:dyDescent="0.3">
      <c r="B303" s="9">
        <v>36898</v>
      </c>
      <c r="C303" s="10">
        <v>1072.8499999999999</v>
      </c>
      <c r="D303" s="11">
        <v>-3.1600000000000003E-2</v>
      </c>
      <c r="E303" s="13">
        <f t="shared" si="7"/>
        <v>1.812574139976264E-2</v>
      </c>
    </row>
    <row r="304" spans="2:5" x14ac:dyDescent="0.3">
      <c r="B304" s="9">
        <v>36897</v>
      </c>
      <c r="C304" s="10">
        <v>1107.9000000000001</v>
      </c>
      <c r="D304" s="11">
        <v>-5.1400000000000001E-2</v>
      </c>
      <c r="E304" s="13">
        <f t="shared" si="7"/>
        <v>3.2669991145080957E-2</v>
      </c>
    </row>
    <row r="305" spans="2:5" x14ac:dyDescent="0.3">
      <c r="B305" s="9">
        <v>36896</v>
      </c>
      <c r="C305" s="10">
        <v>1167.9000000000001</v>
      </c>
      <c r="D305" s="11">
        <v>3.7900000000000003E-2</v>
      </c>
      <c r="E305" s="13">
        <f t="shared" si="7"/>
        <v>5.4156512320606476E-2</v>
      </c>
    </row>
    <row r="306" spans="2:5" x14ac:dyDescent="0.3">
      <c r="B306" s="9">
        <v>36895</v>
      </c>
      <c r="C306" s="10">
        <v>1125.25</v>
      </c>
      <c r="D306" s="11">
        <v>-0.02</v>
      </c>
      <c r="E306" s="13">
        <f t="shared" si="7"/>
        <v>-3.6518537546022856E-2</v>
      </c>
    </row>
    <row r="307" spans="2:5" x14ac:dyDescent="0.3">
      <c r="B307" s="9">
        <v>36894</v>
      </c>
      <c r="C307" s="10">
        <v>1148.2</v>
      </c>
      <c r="D307" s="11">
        <v>-0.15040000000000001</v>
      </c>
      <c r="E307" s="13">
        <f t="shared" si="7"/>
        <v>2.0395467673850254E-2</v>
      </c>
    </row>
    <row r="308" spans="2:5" x14ac:dyDescent="0.3">
      <c r="B308" s="9">
        <v>36893</v>
      </c>
      <c r="C308" s="10">
        <v>1351.4</v>
      </c>
      <c r="D308" s="11">
        <v>-1.4800000000000001E-2</v>
      </c>
      <c r="E308" s="13">
        <f t="shared" si="7"/>
        <v>0.17697265284793584</v>
      </c>
    </row>
    <row r="309" spans="2:5" x14ac:dyDescent="0.3">
      <c r="B309" s="9">
        <v>36892</v>
      </c>
      <c r="C309" s="10">
        <v>1371.7</v>
      </c>
      <c r="D309" s="11">
        <v>8.5599999999999996E-2</v>
      </c>
      <c r="E309" s="13">
        <f t="shared" si="7"/>
        <v>1.5021459227467782E-2</v>
      </c>
    </row>
    <row r="310" spans="2:5" x14ac:dyDescent="0.3">
      <c r="B310" s="9">
        <v>36537</v>
      </c>
      <c r="C310" s="10">
        <v>1263.55</v>
      </c>
      <c r="D310" s="11">
        <v>-3.5999999999999999E-3</v>
      </c>
      <c r="E310" s="13">
        <f t="shared" si="7"/>
        <v>-7.8843770503754573E-2</v>
      </c>
    </row>
    <row r="311" spans="2:5" x14ac:dyDescent="0.3">
      <c r="B311" s="9">
        <v>36536</v>
      </c>
      <c r="C311" s="10">
        <v>1268.1500000000001</v>
      </c>
      <c r="D311" s="11">
        <v>8.1299999999999997E-2</v>
      </c>
      <c r="E311" s="13">
        <f t="shared" si="7"/>
        <v>3.6405365834357717E-3</v>
      </c>
    </row>
    <row r="312" spans="2:5" x14ac:dyDescent="0.3">
      <c r="B312" s="9">
        <v>36535</v>
      </c>
      <c r="C312" s="10">
        <v>1172.75</v>
      </c>
      <c r="D312" s="11">
        <v>-7.7799999999999994E-2</v>
      </c>
      <c r="E312" s="13">
        <f t="shared" si="7"/>
        <v>-7.522769388479289E-2</v>
      </c>
    </row>
    <row r="313" spans="2:5" x14ac:dyDescent="0.3">
      <c r="B313" s="9">
        <v>36534</v>
      </c>
      <c r="C313" s="10">
        <v>1271.6500000000001</v>
      </c>
      <c r="D313" s="11">
        <v>-8.7800000000000003E-2</v>
      </c>
      <c r="E313" s="13">
        <f t="shared" si="7"/>
        <v>8.4331698998081572E-2</v>
      </c>
    </row>
    <row r="314" spans="2:5" x14ac:dyDescent="0.3">
      <c r="B314" s="9">
        <v>36533</v>
      </c>
      <c r="C314" s="10">
        <v>1394.1</v>
      </c>
      <c r="D314" s="11">
        <v>4.5999999999999999E-2</v>
      </c>
      <c r="E314" s="13">
        <f t="shared" si="7"/>
        <v>9.6292218770888116E-2</v>
      </c>
    </row>
    <row r="315" spans="2:5" x14ac:dyDescent="0.3">
      <c r="B315" s="9">
        <v>36532</v>
      </c>
      <c r="C315" s="10">
        <v>1332.85</v>
      </c>
      <c r="D315" s="11">
        <v>-9.4200000000000006E-2</v>
      </c>
      <c r="E315" s="13">
        <f t="shared" si="7"/>
        <v>-4.3935155297324391E-2</v>
      </c>
    </row>
    <row r="316" spans="2:5" x14ac:dyDescent="0.3">
      <c r="B316" s="9">
        <v>36531</v>
      </c>
      <c r="C316" s="10">
        <v>1471.45</v>
      </c>
      <c r="D316" s="11">
        <v>6.59E-2</v>
      </c>
      <c r="E316" s="13">
        <f t="shared" si="7"/>
        <v>0.10398769553963327</v>
      </c>
    </row>
    <row r="317" spans="2:5" x14ac:dyDescent="0.3">
      <c r="B317" s="9">
        <v>36530</v>
      </c>
      <c r="C317" s="10">
        <v>1380.45</v>
      </c>
      <c r="D317" s="11">
        <v>-1.8599999999999998E-2</v>
      </c>
      <c r="E317" s="13">
        <f t="shared" si="7"/>
        <v>-6.1843759556899691E-2</v>
      </c>
    </row>
    <row r="318" spans="2:5" x14ac:dyDescent="0.3">
      <c r="B318" s="9">
        <v>36529</v>
      </c>
      <c r="C318" s="10">
        <v>1406.55</v>
      </c>
      <c r="D318" s="11">
        <v>-7.9799999999999996E-2</v>
      </c>
      <c r="E318" s="13">
        <f t="shared" si="7"/>
        <v>1.8906878191893961E-2</v>
      </c>
    </row>
    <row r="319" spans="2:5" x14ac:dyDescent="0.3">
      <c r="B319" s="9">
        <v>36528</v>
      </c>
      <c r="C319" s="10">
        <v>1528.45</v>
      </c>
      <c r="D319" s="11">
        <v>-7.6399999999999996E-2</v>
      </c>
      <c r="E319" s="13">
        <f t="shared" si="7"/>
        <v>8.6665955707226905E-2</v>
      </c>
    </row>
    <row r="320" spans="2:5" x14ac:dyDescent="0.3">
      <c r="B320" s="14">
        <v>36527</v>
      </c>
      <c r="C320" s="15">
        <v>1654.8</v>
      </c>
      <c r="D320" s="16">
        <v>7.0199999999999999E-2</v>
      </c>
      <c r="E320" s="17">
        <f t="shared" si="7"/>
        <v>8.2665445385848413E-2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showGridLines="0" workbookViewId="0">
      <selection activeCell="G7" sqref="G7"/>
    </sheetView>
  </sheetViews>
  <sheetFormatPr defaultRowHeight="14.4" x14ac:dyDescent="0.3"/>
  <cols>
    <col min="1" max="1" width="2" style="1" customWidth="1"/>
    <col min="2" max="2" width="15.77734375" customWidth="1"/>
    <col min="3" max="3" width="17" bestFit="1" customWidth="1"/>
    <col min="5" max="5" width="12.21875" bestFit="1" customWidth="1"/>
  </cols>
  <sheetData>
    <row r="2" spans="2:7" x14ac:dyDescent="0.3">
      <c r="B2" s="25" t="s">
        <v>1</v>
      </c>
      <c r="C2" s="26" t="s">
        <v>161</v>
      </c>
    </row>
    <row r="3" spans="2:7" x14ac:dyDescent="0.3">
      <c r="B3" s="27">
        <v>2000</v>
      </c>
      <c r="C3" s="28">
        <v>1.9900000000000001E-2</v>
      </c>
      <c r="E3" s="2" t="s">
        <v>162</v>
      </c>
      <c r="F3" s="2" t="s">
        <v>10</v>
      </c>
      <c r="G3" s="23">
        <f>AVERAGE(C10:C29)</f>
        <v>2.4774999999999998E-2</v>
      </c>
    </row>
    <row r="4" spans="2:7" x14ac:dyDescent="0.3">
      <c r="B4" s="27">
        <v>2001</v>
      </c>
      <c r="C4" s="28">
        <v>2.0799999999999999E-2</v>
      </c>
    </row>
    <row r="5" spans="2:7" x14ac:dyDescent="0.3">
      <c r="B5" s="27">
        <v>2002</v>
      </c>
      <c r="C5" s="28">
        <v>4.9200000000000001E-2</v>
      </c>
      <c r="E5" s="2" t="s">
        <v>162</v>
      </c>
      <c r="F5" s="2" t="s">
        <v>16</v>
      </c>
      <c r="G5" s="23">
        <f>AVERAGE(C15:C29)</f>
        <v>2.1513333333333329E-2</v>
      </c>
    </row>
    <row r="6" spans="2:7" x14ac:dyDescent="0.3">
      <c r="B6" s="62">
        <v>2003</v>
      </c>
      <c r="C6" s="63">
        <v>7.3099999999999998E-2</v>
      </c>
    </row>
    <row r="7" spans="2:7" x14ac:dyDescent="0.3">
      <c r="B7" s="27">
        <v>2004</v>
      </c>
      <c r="C7" s="28">
        <v>4.2900000000000001E-2</v>
      </c>
      <c r="E7" s="2" t="s">
        <v>162</v>
      </c>
      <c r="F7" s="2" t="s">
        <v>17</v>
      </c>
      <c r="G7" s="23">
        <f>AVERAGE(C20:C29)</f>
        <v>1.8070000000000003E-2</v>
      </c>
    </row>
    <row r="8" spans="2:7" x14ac:dyDescent="0.3">
      <c r="B8" s="27">
        <v>2005</v>
      </c>
      <c r="C8" s="28">
        <v>4.6199999999999998E-2</v>
      </c>
    </row>
    <row r="9" spans="2:7" x14ac:dyDescent="0.3">
      <c r="B9" s="27">
        <v>2006</v>
      </c>
      <c r="C9" s="28">
        <v>3.49E-2</v>
      </c>
      <c r="E9" s="2" t="s">
        <v>162</v>
      </c>
      <c r="F9" s="2" t="s">
        <v>13</v>
      </c>
      <c r="G9" s="23">
        <f>AVERAGE(C25:C29)</f>
        <v>1.6119999999999999E-2</v>
      </c>
    </row>
    <row r="10" spans="2:7" x14ac:dyDescent="0.3">
      <c r="B10" s="27">
        <v>2007</v>
      </c>
      <c r="C10" s="28">
        <v>2.98E-2</v>
      </c>
    </row>
    <row r="11" spans="2:7" x14ac:dyDescent="0.3">
      <c r="B11" s="27">
        <v>2008</v>
      </c>
      <c r="C11" s="28">
        <v>2.18E-2</v>
      </c>
      <c r="E11" s="2" t="s">
        <v>162</v>
      </c>
      <c r="F11" s="2" t="s">
        <v>14</v>
      </c>
      <c r="G11" s="23">
        <f>AVERAGE(C27:C29)</f>
        <v>1.5933333333333331E-2</v>
      </c>
    </row>
    <row r="12" spans="2:7" x14ac:dyDescent="0.3">
      <c r="B12" s="62">
        <v>2009</v>
      </c>
      <c r="C12" s="63">
        <v>6.5600000000000006E-2</v>
      </c>
    </row>
    <row r="13" spans="2:7" x14ac:dyDescent="0.3">
      <c r="B13" s="27">
        <v>2010</v>
      </c>
      <c r="C13" s="28">
        <v>2.46E-2</v>
      </c>
      <c r="E13" s="2" t="s">
        <v>162</v>
      </c>
      <c r="F13" s="2" t="s">
        <v>159</v>
      </c>
      <c r="G13" s="23">
        <f>C29</f>
        <v>1.6799999999999999E-2</v>
      </c>
    </row>
    <row r="14" spans="2:7" x14ac:dyDescent="0.3">
      <c r="B14" s="27">
        <v>2011</v>
      </c>
      <c r="C14" s="28">
        <v>3.1E-2</v>
      </c>
    </row>
    <row r="15" spans="2:7" x14ac:dyDescent="0.3">
      <c r="B15" s="27">
        <v>2012</v>
      </c>
      <c r="C15" s="28">
        <v>3.7100000000000001E-2</v>
      </c>
    </row>
    <row r="16" spans="2:7" x14ac:dyDescent="0.3">
      <c r="B16" s="27">
        <v>2013</v>
      </c>
      <c r="C16" s="28">
        <v>2.8199999999999999E-2</v>
      </c>
    </row>
    <row r="17" spans="2:3" x14ac:dyDescent="0.3">
      <c r="B17" s="27">
        <v>2014</v>
      </c>
      <c r="C17" s="28">
        <v>2.81E-2</v>
      </c>
    </row>
    <row r="18" spans="2:3" x14ac:dyDescent="0.3">
      <c r="B18" s="27">
        <v>2015</v>
      </c>
      <c r="C18" s="28">
        <v>2.2800000000000001E-2</v>
      </c>
    </row>
    <row r="19" spans="2:3" x14ac:dyDescent="0.3">
      <c r="B19" s="27">
        <v>2016</v>
      </c>
      <c r="C19" s="28">
        <v>2.58E-2</v>
      </c>
    </row>
    <row r="20" spans="2:3" x14ac:dyDescent="0.3">
      <c r="B20" s="27">
        <v>2017</v>
      </c>
      <c r="C20" s="28">
        <v>2.58E-2</v>
      </c>
    </row>
    <row r="21" spans="2:3" x14ac:dyDescent="0.3">
      <c r="B21" s="27">
        <v>2018</v>
      </c>
      <c r="C21" s="28">
        <v>1.6500000000000001E-2</v>
      </c>
    </row>
    <row r="22" spans="2:3" x14ac:dyDescent="0.3">
      <c r="B22" s="27">
        <v>2019</v>
      </c>
      <c r="C22" s="28">
        <v>1.9900000000000001E-2</v>
      </c>
    </row>
    <row r="23" spans="2:3" x14ac:dyDescent="0.3">
      <c r="B23" s="27">
        <v>2020</v>
      </c>
      <c r="C23" s="28">
        <v>2.0500000000000001E-2</v>
      </c>
    </row>
    <row r="24" spans="2:3" x14ac:dyDescent="0.3">
      <c r="B24" s="27">
        <v>2021</v>
      </c>
      <c r="C24" s="28">
        <v>1.7399999999999999E-2</v>
      </c>
    </row>
    <row r="25" spans="2:3" x14ac:dyDescent="0.3">
      <c r="B25" s="27">
        <v>2022</v>
      </c>
      <c r="C25" s="28">
        <v>1.6299999999999999E-2</v>
      </c>
    </row>
    <row r="26" spans="2:3" x14ac:dyDescent="0.3">
      <c r="B26" s="27">
        <v>2023</v>
      </c>
      <c r="C26" s="28">
        <v>1.6500000000000001E-2</v>
      </c>
    </row>
    <row r="27" spans="2:3" x14ac:dyDescent="0.3">
      <c r="B27" s="27">
        <v>2024</v>
      </c>
      <c r="C27" s="28">
        <v>1.43E-2</v>
      </c>
    </row>
    <row r="28" spans="2:3" x14ac:dyDescent="0.3">
      <c r="B28" s="27">
        <v>2025</v>
      </c>
      <c r="C28" s="28">
        <v>1.67E-2</v>
      </c>
    </row>
    <row r="29" spans="2:3" x14ac:dyDescent="0.3">
      <c r="B29" s="29">
        <v>2026</v>
      </c>
      <c r="C29" s="30">
        <v>1.6799999999999999E-2</v>
      </c>
    </row>
    <row r="32" spans="2:3" x14ac:dyDescent="0.3">
      <c r="B32" s="24" t="s">
        <v>28</v>
      </c>
    </row>
  </sheetData>
  <pageMargins left="0.7" right="0.7" top="0.75" bottom="0.75" header="0.3" footer="0.3"/>
  <ignoredErrors>
    <ignoredError sqref="G9 G7 G5 G3 G11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21"/>
  <sheetViews>
    <sheetView showGridLines="0" workbookViewId="0">
      <selection activeCell="R12" sqref="R12"/>
    </sheetView>
  </sheetViews>
  <sheetFormatPr defaultRowHeight="14.4" x14ac:dyDescent="0.3"/>
  <cols>
    <col min="1" max="1" width="2" customWidth="1"/>
    <col min="2" max="2" width="14.6640625" bestFit="1" customWidth="1"/>
    <col min="9" max="9" width="3.5546875" customWidth="1"/>
    <col min="10" max="10" width="11" style="31" bestFit="1" customWidth="1"/>
    <col min="11" max="11" width="22.21875" bestFit="1" customWidth="1"/>
    <col min="13" max="13" width="3.5546875" customWidth="1"/>
    <col min="14" max="14" width="12.44140625" bestFit="1" customWidth="1"/>
  </cols>
  <sheetData>
    <row r="2" spans="2:16" x14ac:dyDescent="0.3">
      <c r="B2" s="32" t="s">
        <v>2</v>
      </c>
      <c r="C2" s="26" t="s">
        <v>18</v>
      </c>
      <c r="D2" s="26" t="s">
        <v>19</v>
      </c>
      <c r="E2" s="26" t="s">
        <v>20</v>
      </c>
      <c r="F2" s="26" t="s">
        <v>21</v>
      </c>
      <c r="G2" s="26" t="s">
        <v>3</v>
      </c>
      <c r="J2" s="25" t="s">
        <v>22</v>
      </c>
      <c r="K2" s="26" t="s">
        <v>23</v>
      </c>
      <c r="N2" s="2" t="s">
        <v>24</v>
      </c>
      <c r="O2" s="2" t="s">
        <v>10</v>
      </c>
      <c r="P2" s="23">
        <f>AVERAGE(K10:K29)</f>
        <v>7.3637541666666667E-2</v>
      </c>
    </row>
    <row r="3" spans="2:16" x14ac:dyDescent="0.3">
      <c r="B3" s="33">
        <v>46029</v>
      </c>
      <c r="C3" s="28">
        <v>6.7680000000000004E-2</v>
      </c>
      <c r="D3" s="28">
        <v>6.7500000000000004E-2</v>
      </c>
      <c r="E3" s="28">
        <v>6.8330000000000002E-2</v>
      </c>
      <c r="F3" s="28">
        <v>6.6799999999999998E-2</v>
      </c>
      <c r="G3" s="28">
        <v>2.2000000000000001E-3</v>
      </c>
      <c r="J3" s="27">
        <v>2000</v>
      </c>
      <c r="K3" s="28">
        <f>AVERAGEIFS($C$3:$C$321,$B$3:$B$321,"&gt;="&amp;DATE(J3,1,1),$B$3:$B$321,"&lt;="&amp;DATE(J3,12,31))</f>
        <v>0.11044916666666667</v>
      </c>
    </row>
    <row r="4" spans="2:16" x14ac:dyDescent="0.3">
      <c r="B4" s="33">
        <v>46028</v>
      </c>
      <c r="C4" s="28">
        <v>6.7530000000000007E-2</v>
      </c>
      <c r="D4" s="28">
        <v>7.0099999999999996E-2</v>
      </c>
      <c r="E4" s="28">
        <v>7.0199999999999999E-2</v>
      </c>
      <c r="F4" s="28">
        <v>6.7000000000000004E-2</v>
      </c>
      <c r="G4" s="28">
        <v>-3.5700000000000003E-2</v>
      </c>
      <c r="J4" s="27">
        <f>J3+1</f>
        <v>2001</v>
      </c>
      <c r="K4" s="28">
        <f t="shared" ref="K4:K29" si="0">AVERAGEIFS($C$3:$C$321,$B$3:$B$321,"&gt;="&amp;DATE(J4,1,1),$B$3:$B$321,"&lt;="&amp;DATE(J4,12,31))</f>
        <v>9.3700833333333344E-2</v>
      </c>
      <c r="N4" s="2" t="s">
        <v>24</v>
      </c>
      <c r="O4" s="2" t="s">
        <v>11</v>
      </c>
      <c r="P4" s="23">
        <f>AVERAGE(K15:K29)</f>
        <v>7.2203111111111121E-2</v>
      </c>
    </row>
    <row r="5" spans="2:16" x14ac:dyDescent="0.3">
      <c r="B5" s="33">
        <v>46027</v>
      </c>
      <c r="C5" s="28">
        <v>7.0029999999999995E-2</v>
      </c>
      <c r="D5" s="28">
        <v>7.0099999999999996E-2</v>
      </c>
      <c r="E5" s="28">
        <v>7.1099999999999997E-2</v>
      </c>
      <c r="F5" s="28">
        <v>6.9199999999999998E-2</v>
      </c>
      <c r="G5" s="28">
        <v>-2.0999999999999999E-3</v>
      </c>
      <c r="J5" s="27">
        <f t="shared" ref="J5:J28" si="1">J4+1</f>
        <v>2002</v>
      </c>
      <c r="K5" s="28">
        <f t="shared" si="0"/>
        <v>7.1952500000000016E-2</v>
      </c>
    </row>
    <row r="6" spans="2:16" x14ac:dyDescent="0.3">
      <c r="B6" s="33">
        <v>46026</v>
      </c>
      <c r="C6" s="28">
        <v>7.0179999999999992E-2</v>
      </c>
      <c r="D6" s="28">
        <v>6.9500000000000006E-2</v>
      </c>
      <c r="E6" s="28">
        <v>7.1199999999999999E-2</v>
      </c>
      <c r="F6" s="28">
        <v>6.8600000000000008E-2</v>
      </c>
      <c r="G6" s="28">
        <v>8.2000000000000007E-3</v>
      </c>
      <c r="J6" s="27">
        <f t="shared" si="1"/>
        <v>2003</v>
      </c>
      <c r="K6" s="28">
        <f t="shared" si="0"/>
        <v>5.6047500000000007E-2</v>
      </c>
      <c r="N6" s="2" t="s">
        <v>24</v>
      </c>
      <c r="O6" s="2" t="s">
        <v>25</v>
      </c>
      <c r="P6" s="23">
        <f>AVERAGE(K20:K29)</f>
        <v>6.8333000000000005E-2</v>
      </c>
    </row>
    <row r="7" spans="2:16" x14ac:dyDescent="0.3">
      <c r="B7" s="33">
        <v>46025</v>
      </c>
      <c r="C7" s="28">
        <v>6.9610000000000005E-2</v>
      </c>
      <c r="D7" s="28">
        <v>6.6699999999999995E-2</v>
      </c>
      <c r="E7" s="28">
        <v>6.9500000000000006E-2</v>
      </c>
      <c r="F7" s="28">
        <v>6.6299999999999998E-2</v>
      </c>
      <c r="G7" s="28">
        <v>4.4999999999999998E-2</v>
      </c>
      <c r="J7" s="27">
        <f t="shared" si="1"/>
        <v>2004</v>
      </c>
      <c r="K7" s="28">
        <f t="shared" si="0"/>
        <v>5.9314166666666675E-2</v>
      </c>
    </row>
    <row r="8" spans="2:16" x14ac:dyDescent="0.3">
      <c r="B8" s="33">
        <v>46024</v>
      </c>
      <c r="C8" s="28">
        <v>6.6610000000000003E-2</v>
      </c>
      <c r="D8" s="28">
        <v>6.7599999999999993E-2</v>
      </c>
      <c r="E8" s="28">
        <v>6.7599999999999993E-2</v>
      </c>
      <c r="F8" s="28">
        <v>6.6400000000000001E-2</v>
      </c>
      <c r="G8" s="28">
        <v>-5.1000000000000004E-3</v>
      </c>
      <c r="J8" s="27">
        <f t="shared" si="1"/>
        <v>2005</v>
      </c>
      <c r="K8" s="28">
        <f t="shared" si="0"/>
        <v>6.9710000000000008E-2</v>
      </c>
      <c r="N8" s="2" t="s">
        <v>24</v>
      </c>
      <c r="O8" s="2" t="s">
        <v>26</v>
      </c>
      <c r="P8" s="23">
        <f>AVERAGE(K25:K29)</f>
        <v>6.9396166666666675E-2</v>
      </c>
    </row>
    <row r="9" spans="2:16" x14ac:dyDescent="0.3">
      <c r="B9" s="33">
        <v>46023</v>
      </c>
      <c r="C9" s="28">
        <v>6.695000000000001E-2</v>
      </c>
      <c r="D9" s="28">
        <v>6.5700000000000008E-2</v>
      </c>
      <c r="E9" s="28">
        <v>6.7099999999999993E-2</v>
      </c>
      <c r="F9" s="28">
        <v>6.5700000000000008E-2</v>
      </c>
      <c r="G9" s="28">
        <v>1.6199999999999999E-2</v>
      </c>
      <c r="J9" s="27">
        <f t="shared" si="1"/>
        <v>2006</v>
      </c>
      <c r="K9" s="28">
        <f t="shared" si="0"/>
        <v>7.662833333333334E-2</v>
      </c>
    </row>
    <row r="10" spans="2:16" x14ac:dyDescent="0.3">
      <c r="B10" s="33">
        <v>45669</v>
      </c>
      <c r="C10" s="28">
        <v>6.5879999999999994E-2</v>
      </c>
      <c r="D10" s="28">
        <v>6.5700000000000008E-2</v>
      </c>
      <c r="E10" s="28">
        <v>6.6600000000000006E-2</v>
      </c>
      <c r="F10" s="28">
        <v>6.4899999999999999E-2</v>
      </c>
      <c r="G10" s="28">
        <v>9.1999999999999998E-3</v>
      </c>
      <c r="J10" s="27">
        <f t="shared" si="1"/>
        <v>2007</v>
      </c>
      <c r="K10" s="28">
        <f t="shared" si="0"/>
        <v>7.9529166666666651E-2</v>
      </c>
      <c r="N10" s="2" t="s">
        <v>24</v>
      </c>
      <c r="O10" s="2" t="s">
        <v>27</v>
      </c>
      <c r="P10" s="23">
        <f>AVERAGE(K27:K29)</f>
        <v>6.7620555555555559E-2</v>
      </c>
    </row>
    <row r="11" spans="2:16" x14ac:dyDescent="0.3">
      <c r="B11" s="33">
        <v>45668</v>
      </c>
      <c r="C11" s="28">
        <v>6.5279999999999991E-2</v>
      </c>
      <c r="D11" s="28">
        <v>6.5199999999999994E-2</v>
      </c>
      <c r="E11" s="28">
        <v>6.5500000000000003E-2</v>
      </c>
      <c r="F11" s="28">
        <v>6.480000000000001E-2</v>
      </c>
      <c r="G11" s="28">
        <v>-2.0000000000000001E-4</v>
      </c>
      <c r="J11" s="27">
        <f t="shared" si="1"/>
        <v>2008</v>
      </c>
      <c r="K11" s="28">
        <f t="shared" si="0"/>
        <v>7.8546666666666667E-2</v>
      </c>
    </row>
    <row r="12" spans="2:16" x14ac:dyDescent="0.3">
      <c r="B12" s="33">
        <v>45667</v>
      </c>
      <c r="C12" s="28">
        <v>6.5290000000000001E-2</v>
      </c>
      <c r="D12" s="28">
        <v>6.5199999999999994E-2</v>
      </c>
      <c r="E12" s="28">
        <v>6.5700000000000008E-2</v>
      </c>
      <c r="F12" s="28">
        <v>6.480000000000001E-2</v>
      </c>
      <c r="G12" s="28">
        <v>-6.4000000000000003E-3</v>
      </c>
      <c r="J12" s="27">
        <f t="shared" si="1"/>
        <v>2009</v>
      </c>
      <c r="K12" s="28">
        <f t="shared" si="0"/>
        <v>6.948583333333333E-2</v>
      </c>
      <c r="N12" s="2" t="s">
        <v>24</v>
      </c>
      <c r="O12" s="2" t="s">
        <v>159</v>
      </c>
      <c r="P12" s="23">
        <f>K29</f>
        <v>6.837E-2</v>
      </c>
    </row>
    <row r="13" spans="2:16" x14ac:dyDescent="0.3">
      <c r="B13" s="33">
        <v>45666</v>
      </c>
      <c r="C13" s="28">
        <v>6.5709999999999991E-2</v>
      </c>
      <c r="D13" s="28">
        <v>6.5799999999999997E-2</v>
      </c>
      <c r="E13" s="28">
        <v>6.5799999999999997E-2</v>
      </c>
      <c r="F13" s="28">
        <v>6.4500000000000002E-2</v>
      </c>
      <c r="G13" s="28">
        <v>-2.5999999999999999E-3</v>
      </c>
      <c r="J13" s="27">
        <f t="shared" si="1"/>
        <v>2010</v>
      </c>
      <c r="K13" s="28">
        <f t="shared" si="0"/>
        <v>7.8485000000000013E-2</v>
      </c>
    </row>
    <row r="14" spans="2:16" x14ac:dyDescent="0.3">
      <c r="B14" s="33">
        <v>45665</v>
      </c>
      <c r="C14" s="28">
        <v>6.5879999999999994E-2</v>
      </c>
      <c r="D14" s="28">
        <v>6.3600000000000004E-2</v>
      </c>
      <c r="E14" s="28">
        <v>6.6100000000000006E-2</v>
      </c>
      <c r="F14" s="28">
        <v>6.3099999999999989E-2</v>
      </c>
      <c r="G14" s="28">
        <v>3.32E-2</v>
      </c>
      <c r="J14" s="27">
        <f t="shared" si="1"/>
        <v>2011</v>
      </c>
      <c r="K14" s="28">
        <f t="shared" si="0"/>
        <v>8.3657499999999996E-2</v>
      </c>
    </row>
    <row r="15" spans="2:16" x14ac:dyDescent="0.3">
      <c r="B15" s="33">
        <v>45664</v>
      </c>
      <c r="C15" s="28">
        <v>6.3759999999999997E-2</v>
      </c>
      <c r="D15" s="28">
        <v>6.2899999999999998E-2</v>
      </c>
      <c r="E15" s="28">
        <v>6.3700000000000007E-2</v>
      </c>
      <c r="F15" s="28">
        <v>6.2800000000000009E-2</v>
      </c>
      <c r="G15" s="28">
        <v>9.4999999999999998E-3</v>
      </c>
      <c r="J15" s="27">
        <f t="shared" si="1"/>
        <v>2012</v>
      </c>
      <c r="K15" s="28">
        <f t="shared" si="0"/>
        <v>8.2949999999999996E-2</v>
      </c>
    </row>
    <row r="16" spans="2:16" x14ac:dyDescent="0.3">
      <c r="B16" s="33">
        <v>45663</v>
      </c>
      <c r="C16" s="28">
        <v>6.3159999999999994E-2</v>
      </c>
      <c r="D16" s="28">
        <v>6.2199999999999998E-2</v>
      </c>
      <c r="E16" s="28">
        <v>6.3099999999999989E-2</v>
      </c>
      <c r="F16" s="28">
        <v>6.1799999999999994E-2</v>
      </c>
      <c r="G16" s="28">
        <v>1.7100000000000001E-2</v>
      </c>
      <c r="J16" s="27">
        <f t="shared" si="1"/>
        <v>2013</v>
      </c>
      <c r="K16" s="28">
        <f t="shared" si="0"/>
        <v>8.1975833333333317E-2</v>
      </c>
    </row>
    <row r="17" spans="2:20" x14ac:dyDescent="0.3">
      <c r="B17" s="33">
        <v>45662</v>
      </c>
      <c r="C17" s="28">
        <v>6.2100000000000002E-2</v>
      </c>
      <c r="D17" s="28">
        <v>6.3500000000000001E-2</v>
      </c>
      <c r="E17" s="28">
        <v>6.3899999999999998E-2</v>
      </c>
      <c r="F17" s="28">
        <v>6.1600000000000002E-2</v>
      </c>
      <c r="G17" s="28">
        <v>-2.24E-2</v>
      </c>
      <c r="J17" s="27">
        <f t="shared" si="1"/>
        <v>2014</v>
      </c>
      <c r="K17" s="28">
        <f t="shared" si="0"/>
        <v>8.555083333333334E-2</v>
      </c>
    </row>
    <row r="18" spans="2:20" ht="20.399999999999999" customHeight="1" x14ac:dyDescent="0.3">
      <c r="B18" s="33">
        <v>45661</v>
      </c>
      <c r="C18" s="28">
        <v>6.3520000000000007E-2</v>
      </c>
      <c r="D18" s="28">
        <v>6.5700000000000008E-2</v>
      </c>
      <c r="E18" s="28">
        <v>6.5700000000000008E-2</v>
      </c>
      <c r="F18" s="28">
        <v>6.3099999999999989E-2</v>
      </c>
      <c r="G18" s="28">
        <v>-3.32E-2</v>
      </c>
      <c r="J18" s="27">
        <f t="shared" si="1"/>
        <v>2015</v>
      </c>
      <c r="K18" s="28">
        <f t="shared" si="0"/>
        <v>7.7501666666666677E-2</v>
      </c>
      <c r="N18" s="69" t="s">
        <v>160</v>
      </c>
      <c r="O18" s="69"/>
      <c r="P18" s="69"/>
      <c r="Q18" s="69"/>
      <c r="R18" s="69"/>
      <c r="S18" s="69"/>
      <c r="T18" s="69"/>
    </row>
    <row r="19" spans="2:20" x14ac:dyDescent="0.3">
      <c r="B19" s="33">
        <v>45660</v>
      </c>
      <c r="C19" s="28">
        <v>6.5700000000000008E-2</v>
      </c>
      <c r="D19" s="28">
        <v>6.7299999999999999E-2</v>
      </c>
      <c r="E19" s="28">
        <v>6.7400000000000002E-2</v>
      </c>
      <c r="F19" s="28">
        <v>6.5700000000000008E-2</v>
      </c>
      <c r="G19" s="28">
        <v>-2.23E-2</v>
      </c>
      <c r="J19" s="27">
        <f t="shared" si="1"/>
        <v>2016</v>
      </c>
      <c r="K19" s="28">
        <f t="shared" si="0"/>
        <v>7.1738333333333348E-2</v>
      </c>
    </row>
    <row r="20" spans="2:20" x14ac:dyDescent="0.3">
      <c r="B20" s="33">
        <v>45659</v>
      </c>
      <c r="C20" s="28">
        <v>6.7199999999999996E-2</v>
      </c>
      <c r="D20" s="28">
        <v>6.6600000000000006E-2</v>
      </c>
      <c r="E20" s="28">
        <v>6.7199999999999996E-2</v>
      </c>
      <c r="F20" s="28">
        <v>6.6500000000000004E-2</v>
      </c>
      <c r="G20" s="28">
        <v>4.4999999999999997E-3</v>
      </c>
      <c r="J20" s="27">
        <f t="shared" si="1"/>
        <v>2017</v>
      </c>
      <c r="K20" s="28">
        <f t="shared" si="0"/>
        <v>6.7472499999999991E-2</v>
      </c>
    </row>
    <row r="21" spans="2:20" x14ac:dyDescent="0.3">
      <c r="B21" s="33">
        <v>45658</v>
      </c>
      <c r="C21" s="28">
        <v>6.6900000000000001E-2</v>
      </c>
      <c r="D21" s="28">
        <v>6.7799999999999999E-2</v>
      </c>
      <c r="E21" s="28">
        <v>6.8400000000000002E-2</v>
      </c>
      <c r="F21" s="28">
        <v>6.6699999999999995E-2</v>
      </c>
      <c r="G21" s="28">
        <v>-1.04E-2</v>
      </c>
      <c r="J21" s="27">
        <f t="shared" si="1"/>
        <v>2018</v>
      </c>
      <c r="K21" s="28">
        <f t="shared" si="0"/>
        <v>7.718916666666667E-2</v>
      </c>
    </row>
    <row r="22" spans="2:20" x14ac:dyDescent="0.3">
      <c r="B22" s="33">
        <v>45303</v>
      </c>
      <c r="C22" s="28">
        <v>6.7599999999999993E-2</v>
      </c>
      <c r="D22" s="28">
        <v>6.8019999999999997E-2</v>
      </c>
      <c r="E22" s="28">
        <v>6.8070000000000006E-2</v>
      </c>
      <c r="F22" s="28">
        <v>6.6680000000000003E-2</v>
      </c>
      <c r="G22" s="28">
        <v>1.2999999999999999E-3</v>
      </c>
      <c r="J22" s="27">
        <f t="shared" si="1"/>
        <v>2019</v>
      </c>
      <c r="K22" s="28">
        <f t="shared" si="0"/>
        <v>6.918500000000001E-2</v>
      </c>
    </row>
    <row r="23" spans="2:20" x14ac:dyDescent="0.3">
      <c r="B23" s="33">
        <v>45302</v>
      </c>
      <c r="C23" s="28">
        <v>6.7510000000000001E-2</v>
      </c>
      <c r="D23" s="28">
        <v>6.831000000000001E-2</v>
      </c>
      <c r="E23" s="28">
        <v>6.863000000000001E-2</v>
      </c>
      <c r="F23" s="28">
        <v>6.7390000000000005E-2</v>
      </c>
      <c r="G23" s="28">
        <v>-1.32E-2</v>
      </c>
      <c r="J23" s="27">
        <f t="shared" si="1"/>
        <v>2020</v>
      </c>
      <c r="K23" s="28">
        <f t="shared" si="0"/>
        <v>6.0612500000000007E-2</v>
      </c>
    </row>
    <row r="24" spans="2:20" x14ac:dyDescent="0.3">
      <c r="B24" s="33">
        <v>45301</v>
      </c>
      <c r="C24" s="28">
        <v>6.8409999999999999E-2</v>
      </c>
      <c r="D24" s="28">
        <v>6.7589999999999997E-2</v>
      </c>
      <c r="E24" s="28">
        <v>6.8750000000000006E-2</v>
      </c>
      <c r="F24" s="28">
        <v>6.7299999999999999E-2</v>
      </c>
      <c r="G24" s="28">
        <v>1.35E-2</v>
      </c>
      <c r="J24" s="27">
        <f t="shared" si="1"/>
        <v>2021</v>
      </c>
      <c r="K24" s="28">
        <f t="shared" si="0"/>
        <v>6.1889999999999994E-2</v>
      </c>
    </row>
    <row r="25" spans="2:20" x14ac:dyDescent="0.3">
      <c r="B25" s="33">
        <v>45300</v>
      </c>
      <c r="C25" s="28">
        <v>6.7500000000000004E-2</v>
      </c>
      <c r="D25" s="28">
        <v>6.8769999999999998E-2</v>
      </c>
      <c r="E25" s="28">
        <v>6.8849999999999995E-2</v>
      </c>
      <c r="F25" s="28">
        <v>6.7060000000000008E-2</v>
      </c>
      <c r="G25" s="28">
        <v>-1.6500000000000001E-2</v>
      </c>
      <c r="J25" s="27">
        <f t="shared" si="1"/>
        <v>2022</v>
      </c>
      <c r="K25" s="28">
        <f t="shared" si="0"/>
        <v>7.1882500000000002E-2</v>
      </c>
    </row>
    <row r="26" spans="2:20" x14ac:dyDescent="0.3">
      <c r="B26" s="33">
        <v>45299</v>
      </c>
      <c r="C26" s="28">
        <v>6.863000000000001E-2</v>
      </c>
      <c r="D26" s="28">
        <v>6.9120000000000001E-2</v>
      </c>
      <c r="E26" s="28">
        <v>6.9190000000000002E-2</v>
      </c>
      <c r="F26" s="28">
        <v>6.8430000000000005E-2</v>
      </c>
      <c r="G26" s="28">
        <v>-8.8000000000000005E-3</v>
      </c>
      <c r="J26" s="27">
        <f t="shared" si="1"/>
        <v>2023</v>
      </c>
      <c r="K26" s="28">
        <f t="shared" si="0"/>
        <v>7.2236666666666671E-2</v>
      </c>
    </row>
    <row r="27" spans="2:20" x14ac:dyDescent="0.3">
      <c r="B27" s="33">
        <v>45298</v>
      </c>
      <c r="C27" s="28">
        <v>6.924000000000001E-2</v>
      </c>
      <c r="D27" s="28">
        <v>7.0230000000000001E-2</v>
      </c>
      <c r="E27" s="28">
        <v>7.0239999999999997E-2</v>
      </c>
      <c r="F27" s="28">
        <v>6.9099999999999995E-2</v>
      </c>
      <c r="G27" s="28">
        <v>-1.2E-2</v>
      </c>
      <c r="J27" s="27">
        <f>J26+1</f>
        <v>2024</v>
      </c>
      <c r="K27" s="28">
        <f t="shared" si="0"/>
        <v>6.9460000000000008E-2</v>
      </c>
    </row>
    <row r="28" spans="2:20" x14ac:dyDescent="0.3">
      <c r="B28" s="33">
        <v>45297</v>
      </c>
      <c r="C28" s="28">
        <v>7.0080000000000003E-2</v>
      </c>
      <c r="D28" s="28">
        <v>6.9550000000000001E-2</v>
      </c>
      <c r="E28" s="28">
        <v>7.0620000000000002E-2</v>
      </c>
      <c r="F28" s="28">
        <v>6.9449999999999998E-2</v>
      </c>
      <c r="G28" s="28">
        <v>3.0999999999999999E-3</v>
      </c>
      <c r="J28" s="27">
        <f t="shared" si="1"/>
        <v>2025</v>
      </c>
      <c r="K28" s="28">
        <f t="shared" si="0"/>
        <v>6.5031666666666668E-2</v>
      </c>
    </row>
    <row r="29" spans="2:20" x14ac:dyDescent="0.3">
      <c r="B29" s="33">
        <v>45296</v>
      </c>
      <c r="C29" s="28">
        <v>6.9859999999999992E-2</v>
      </c>
      <c r="D29" s="28">
        <v>7.17E-2</v>
      </c>
      <c r="E29" s="28">
        <v>7.1730000000000002E-2</v>
      </c>
      <c r="F29" s="28">
        <v>6.9669999999999996E-2</v>
      </c>
      <c r="G29" s="28">
        <v>-2.9000000000000001E-2</v>
      </c>
      <c r="J29" s="29">
        <f>J28+1</f>
        <v>2026</v>
      </c>
      <c r="K29" s="30">
        <f t="shared" si="0"/>
        <v>6.837E-2</v>
      </c>
    </row>
    <row r="30" spans="2:20" x14ac:dyDescent="0.3">
      <c r="B30" s="33">
        <v>45295</v>
      </c>
      <c r="C30" s="28">
        <v>7.195E-2</v>
      </c>
      <c r="D30" s="28">
        <v>7.0849999999999996E-2</v>
      </c>
      <c r="E30" s="28">
        <v>7.2419999999999998E-2</v>
      </c>
      <c r="F30" s="28">
        <v>7.0750000000000007E-2</v>
      </c>
      <c r="G30" s="28">
        <v>2.0299999999999999E-2</v>
      </c>
    </row>
    <row r="31" spans="2:20" x14ac:dyDescent="0.3">
      <c r="B31" s="33">
        <v>45294</v>
      </c>
      <c r="C31" s="28">
        <v>7.0519999999999999E-2</v>
      </c>
      <c r="D31" s="28">
        <v>7.0620000000000002E-2</v>
      </c>
      <c r="E31" s="28">
        <v>7.1029999999999996E-2</v>
      </c>
      <c r="F31" s="28">
        <v>7.0059999999999997E-2</v>
      </c>
      <c r="G31" s="28">
        <v>-3.7000000000000002E-3</v>
      </c>
    </row>
    <row r="32" spans="2:20" x14ac:dyDescent="0.3">
      <c r="B32" s="33">
        <v>45293</v>
      </c>
      <c r="C32" s="28">
        <v>7.078000000000001E-2</v>
      </c>
      <c r="D32" s="28">
        <v>7.1289999999999992E-2</v>
      </c>
      <c r="E32" s="28">
        <v>7.1399999999999991E-2</v>
      </c>
      <c r="F32" s="28">
        <v>7.0209999999999995E-2</v>
      </c>
      <c r="G32" s="28">
        <v>-9.1999999999999998E-3</v>
      </c>
    </row>
    <row r="33" spans="2:10" x14ac:dyDescent="0.3">
      <c r="B33" s="33">
        <v>45292</v>
      </c>
      <c r="C33" s="28">
        <v>7.1440000000000003E-2</v>
      </c>
      <c r="D33" s="28">
        <v>7.2069999999999995E-2</v>
      </c>
      <c r="E33" s="28">
        <v>7.2389999999999996E-2</v>
      </c>
      <c r="F33" s="28">
        <v>7.1340000000000001E-2</v>
      </c>
      <c r="G33" s="28">
        <v>-4.4999999999999997E-3</v>
      </c>
      <c r="J33" s="35" t="s">
        <v>29</v>
      </c>
    </row>
    <row r="34" spans="2:10" x14ac:dyDescent="0.3">
      <c r="B34" s="33">
        <v>44938</v>
      </c>
      <c r="C34" s="28">
        <v>7.1760000000000004E-2</v>
      </c>
      <c r="D34" s="28">
        <v>7.2929999999999995E-2</v>
      </c>
      <c r="E34" s="28">
        <v>7.2980000000000003E-2</v>
      </c>
      <c r="F34" s="28">
        <v>7.1470000000000006E-2</v>
      </c>
      <c r="G34" s="28">
        <v>-1.4200000000000001E-2</v>
      </c>
    </row>
    <row r="35" spans="2:10" x14ac:dyDescent="0.3">
      <c r="B35" s="33">
        <v>44937</v>
      </c>
      <c r="C35" s="28">
        <v>7.2789999999999994E-2</v>
      </c>
      <c r="D35" s="28">
        <v>7.3760000000000006E-2</v>
      </c>
      <c r="E35" s="28">
        <v>7.3760000000000006E-2</v>
      </c>
      <c r="F35" s="28">
        <v>7.1940000000000004E-2</v>
      </c>
      <c r="G35" s="28">
        <v>-9.7999999999999997E-3</v>
      </c>
    </row>
    <row r="36" spans="2:10" x14ac:dyDescent="0.3">
      <c r="B36" s="33">
        <v>44936</v>
      </c>
      <c r="C36" s="28">
        <v>7.3510000000000006E-2</v>
      </c>
      <c r="D36" s="28">
        <v>7.2389999999999996E-2</v>
      </c>
      <c r="E36" s="28">
        <v>7.3950000000000002E-2</v>
      </c>
      <c r="F36" s="28">
        <v>7.2050000000000003E-2</v>
      </c>
      <c r="G36" s="28">
        <v>1.9599999999999999E-2</v>
      </c>
    </row>
    <row r="37" spans="2:10" x14ac:dyDescent="0.3">
      <c r="B37" s="33">
        <v>44935</v>
      </c>
      <c r="C37" s="28">
        <v>7.2099999999999997E-2</v>
      </c>
      <c r="D37" s="28">
        <v>7.1739999999999998E-2</v>
      </c>
      <c r="E37" s="28">
        <v>7.2410000000000002E-2</v>
      </c>
      <c r="F37" s="28">
        <v>7.0860000000000006E-2</v>
      </c>
      <c r="G37" s="28">
        <v>6.1000000000000004E-3</v>
      </c>
    </row>
    <row r="38" spans="2:10" x14ac:dyDescent="0.3">
      <c r="B38" s="33">
        <v>44934</v>
      </c>
      <c r="C38" s="28">
        <v>7.1660000000000001E-2</v>
      </c>
      <c r="D38" s="28">
        <v>7.1859999999999993E-2</v>
      </c>
      <c r="E38" s="28">
        <v>7.2559999999999999E-2</v>
      </c>
      <c r="F38" s="28">
        <v>7.1470000000000006E-2</v>
      </c>
      <c r="G38" s="28">
        <v>-8.0000000000000004E-4</v>
      </c>
    </row>
    <row r="39" spans="2:10" x14ac:dyDescent="0.3">
      <c r="B39" s="33">
        <v>44933</v>
      </c>
      <c r="C39" s="28">
        <v>7.1719999999999992E-2</v>
      </c>
      <c r="D39" s="28">
        <v>7.1129999999999999E-2</v>
      </c>
      <c r="E39" s="28">
        <v>7.1849999999999997E-2</v>
      </c>
      <c r="F39" s="28">
        <v>7.0469999999999991E-2</v>
      </c>
      <c r="G39" s="28">
        <v>8.6999999999999994E-3</v>
      </c>
    </row>
    <row r="40" spans="2:10" x14ac:dyDescent="0.3">
      <c r="B40" s="33">
        <v>44932</v>
      </c>
      <c r="C40" s="28">
        <v>7.1099999999999997E-2</v>
      </c>
      <c r="D40" s="28">
        <v>7.0190000000000002E-2</v>
      </c>
      <c r="E40" s="28">
        <v>7.1169999999999997E-2</v>
      </c>
      <c r="F40" s="28">
        <v>6.9629999999999997E-2</v>
      </c>
      <c r="G40" s="28">
        <v>1.7299999999999999E-2</v>
      </c>
    </row>
    <row r="41" spans="2:10" x14ac:dyDescent="0.3">
      <c r="B41" s="33">
        <v>44931</v>
      </c>
      <c r="C41" s="28">
        <v>6.9889999999999994E-2</v>
      </c>
      <c r="D41" s="28">
        <v>7.1349999999999997E-2</v>
      </c>
      <c r="E41" s="28">
        <v>7.1379999999999999E-2</v>
      </c>
      <c r="F41" s="28">
        <v>6.9470000000000004E-2</v>
      </c>
      <c r="G41" s="28">
        <v>-1.78E-2</v>
      </c>
    </row>
    <row r="42" spans="2:10" x14ac:dyDescent="0.3">
      <c r="B42" s="33">
        <v>44930</v>
      </c>
      <c r="C42" s="28">
        <v>7.1160000000000001E-2</v>
      </c>
      <c r="D42" s="28">
        <v>7.3700000000000002E-2</v>
      </c>
      <c r="E42" s="28">
        <v>7.3700000000000002E-2</v>
      </c>
      <c r="F42" s="28">
        <v>7.077E-2</v>
      </c>
      <c r="G42" s="28">
        <v>-2.7199999999999998E-2</v>
      </c>
    </row>
    <row r="43" spans="2:10" x14ac:dyDescent="0.3">
      <c r="B43" s="33">
        <v>44929</v>
      </c>
      <c r="C43" s="28">
        <v>7.3150000000000007E-2</v>
      </c>
      <c r="D43" s="28">
        <v>7.4679999999999996E-2</v>
      </c>
      <c r="E43" s="28">
        <v>7.4730000000000005E-2</v>
      </c>
      <c r="F43" s="28">
        <v>7.2800000000000004E-2</v>
      </c>
      <c r="G43" s="28">
        <v>-1.9E-2</v>
      </c>
    </row>
    <row r="44" spans="2:10" x14ac:dyDescent="0.3">
      <c r="B44" s="33">
        <v>44928</v>
      </c>
      <c r="C44" s="28">
        <v>7.4569999999999997E-2</v>
      </c>
      <c r="D44" s="28">
        <v>7.4160000000000004E-2</v>
      </c>
      <c r="E44" s="28">
        <v>7.4649999999999994E-2</v>
      </c>
      <c r="F44" s="28">
        <v>7.2450000000000001E-2</v>
      </c>
      <c r="G44" s="28">
        <v>1.55E-2</v>
      </c>
    </row>
    <row r="45" spans="2:10" x14ac:dyDescent="0.3">
      <c r="B45" s="33">
        <v>44927</v>
      </c>
      <c r="C45" s="28">
        <v>7.3429999999999995E-2</v>
      </c>
      <c r="D45" s="28">
        <v>7.3459999999999998E-2</v>
      </c>
      <c r="E45" s="28">
        <v>7.4069999999999997E-2</v>
      </c>
      <c r="F45" s="28">
        <v>7.2660000000000002E-2</v>
      </c>
      <c r="G45" s="28">
        <v>2.2000000000000001E-3</v>
      </c>
    </row>
    <row r="46" spans="2:10" x14ac:dyDescent="0.3">
      <c r="B46" s="33">
        <v>44573</v>
      </c>
      <c r="C46" s="28">
        <v>7.3270000000000002E-2</v>
      </c>
      <c r="D46" s="28">
        <v>7.2550000000000003E-2</v>
      </c>
      <c r="E46" s="28">
        <v>7.3440000000000005E-2</v>
      </c>
      <c r="F46" s="28">
        <v>7.1809999999999999E-2</v>
      </c>
      <c r="G46" s="28">
        <v>6.4999999999999997E-3</v>
      </c>
    </row>
    <row r="47" spans="2:10" x14ac:dyDescent="0.3">
      <c r="B47" s="33">
        <v>44572</v>
      </c>
      <c r="C47" s="28">
        <v>7.2800000000000004E-2</v>
      </c>
      <c r="D47" s="28">
        <v>7.4349999999999999E-2</v>
      </c>
      <c r="E47" s="28">
        <v>7.4969999999999995E-2</v>
      </c>
      <c r="F47" s="28">
        <v>7.2349999999999998E-2</v>
      </c>
      <c r="G47" s="28">
        <v>-2.2200000000000001E-2</v>
      </c>
    </row>
    <row r="48" spans="2:10" x14ac:dyDescent="0.3">
      <c r="B48" s="33">
        <v>44571</v>
      </c>
      <c r="C48" s="28">
        <v>7.4450000000000002E-2</v>
      </c>
      <c r="D48" s="28">
        <v>7.4029999999999999E-2</v>
      </c>
      <c r="E48" s="28">
        <v>7.5410000000000005E-2</v>
      </c>
      <c r="F48" s="28">
        <v>7.3609999999999995E-2</v>
      </c>
      <c r="G48" s="28">
        <v>6.4000000000000003E-3</v>
      </c>
    </row>
    <row r="49" spans="2:7" x14ac:dyDescent="0.3">
      <c r="B49" s="33">
        <v>44570</v>
      </c>
      <c r="C49" s="28">
        <v>7.397999999999999E-2</v>
      </c>
      <c r="D49" s="28">
        <v>7.2300000000000003E-2</v>
      </c>
      <c r="E49" s="28">
        <v>7.4230000000000004E-2</v>
      </c>
      <c r="F49" s="28">
        <v>7.1059999999999998E-2</v>
      </c>
      <c r="G49" s="28">
        <v>2.92E-2</v>
      </c>
    </row>
    <row r="50" spans="2:7" x14ac:dyDescent="0.3">
      <c r="B50" s="33">
        <v>44569</v>
      </c>
      <c r="C50" s="28">
        <v>7.1879999999999999E-2</v>
      </c>
      <c r="D50" s="28">
        <v>7.3569999999999997E-2</v>
      </c>
      <c r="E50" s="28">
        <v>7.3660000000000003E-2</v>
      </c>
      <c r="F50" s="28">
        <v>7.1099999999999997E-2</v>
      </c>
      <c r="G50" s="28">
        <v>-1.7999999999999999E-2</v>
      </c>
    </row>
    <row r="51" spans="2:7" x14ac:dyDescent="0.3">
      <c r="B51" s="33">
        <v>44568</v>
      </c>
      <c r="C51" s="28">
        <v>7.3200000000000001E-2</v>
      </c>
      <c r="D51" s="28">
        <v>7.4270000000000003E-2</v>
      </c>
      <c r="E51" s="28">
        <v>7.4749999999999997E-2</v>
      </c>
      <c r="F51" s="28">
        <v>7.2550000000000003E-2</v>
      </c>
      <c r="G51" s="28">
        <v>-1.7399999999999999E-2</v>
      </c>
    </row>
    <row r="52" spans="2:7" x14ac:dyDescent="0.3">
      <c r="B52" s="33">
        <v>44567</v>
      </c>
      <c r="C52" s="28">
        <v>7.4499999999999997E-2</v>
      </c>
      <c r="D52" s="28">
        <v>7.4370000000000006E-2</v>
      </c>
      <c r="E52" s="28">
        <v>7.6170000000000002E-2</v>
      </c>
      <c r="F52" s="28">
        <v>7.3650000000000007E-2</v>
      </c>
      <c r="G52" s="28">
        <v>4.7000000000000002E-3</v>
      </c>
    </row>
    <row r="53" spans="2:7" x14ac:dyDescent="0.3">
      <c r="B53" s="33">
        <v>44566</v>
      </c>
      <c r="C53" s="28">
        <v>7.4149999999999994E-2</v>
      </c>
      <c r="D53" s="28">
        <v>7.1379999999999999E-2</v>
      </c>
      <c r="E53" s="28">
        <v>7.490999999999999E-2</v>
      </c>
      <c r="F53" s="28">
        <v>7.1160000000000001E-2</v>
      </c>
      <c r="G53" s="28">
        <v>3.8699999999999998E-2</v>
      </c>
    </row>
    <row r="54" spans="2:7" x14ac:dyDescent="0.3">
      <c r="B54" s="33">
        <v>44565</v>
      </c>
      <c r="C54" s="28">
        <v>7.1390000000000009E-2</v>
      </c>
      <c r="D54" s="28">
        <v>6.9510000000000002E-2</v>
      </c>
      <c r="E54" s="28">
        <v>7.2849999999999998E-2</v>
      </c>
      <c r="F54" s="28">
        <v>6.8909999999999999E-2</v>
      </c>
      <c r="G54" s="28">
        <v>4.3299999999999998E-2</v>
      </c>
    </row>
    <row r="55" spans="2:7" x14ac:dyDescent="0.3">
      <c r="B55" s="33">
        <v>44564</v>
      </c>
      <c r="C55" s="28">
        <v>6.8430000000000005E-2</v>
      </c>
      <c r="D55" s="28">
        <v>6.7990000000000009E-2</v>
      </c>
      <c r="E55" s="28">
        <v>6.9190000000000002E-2</v>
      </c>
      <c r="F55" s="28">
        <v>6.7729999999999999E-2</v>
      </c>
      <c r="G55" s="28">
        <v>1.0800000000000001E-2</v>
      </c>
    </row>
    <row r="56" spans="2:7" x14ac:dyDescent="0.3">
      <c r="B56" s="33">
        <v>44563</v>
      </c>
      <c r="C56" s="28">
        <v>6.7699999999999996E-2</v>
      </c>
      <c r="D56" s="28">
        <v>6.7279999999999993E-2</v>
      </c>
      <c r="E56" s="28">
        <v>6.9550000000000001E-2</v>
      </c>
      <c r="F56" s="28">
        <v>6.615E-2</v>
      </c>
      <c r="G56" s="28">
        <v>1.29E-2</v>
      </c>
    </row>
    <row r="57" spans="2:7" x14ac:dyDescent="0.3">
      <c r="B57" s="33">
        <v>44562</v>
      </c>
      <c r="C57" s="28">
        <v>6.6839999999999997E-2</v>
      </c>
      <c r="D57" s="28">
        <v>6.4630000000000007E-2</v>
      </c>
      <c r="E57" s="28">
        <v>6.8019999999999997E-2</v>
      </c>
      <c r="F57" s="28">
        <v>6.4549999999999996E-2</v>
      </c>
      <c r="G57" s="28">
        <v>3.56E-2</v>
      </c>
    </row>
    <row r="58" spans="2:7" x14ac:dyDescent="0.3">
      <c r="B58" s="33">
        <v>44208</v>
      </c>
      <c r="C58" s="28">
        <v>6.454E-2</v>
      </c>
      <c r="D58" s="28">
        <v>6.3600000000000004E-2</v>
      </c>
      <c r="E58" s="28">
        <v>6.497E-2</v>
      </c>
      <c r="F58" s="28">
        <v>6.3399999999999998E-2</v>
      </c>
      <c r="G58" s="28">
        <v>2.0199999999999999E-2</v>
      </c>
    </row>
    <row r="59" spans="2:7" x14ac:dyDescent="0.3">
      <c r="B59" s="33">
        <v>44207</v>
      </c>
      <c r="C59" s="28">
        <v>6.3259999999999997E-2</v>
      </c>
      <c r="D59" s="28">
        <v>6.3909999999999995E-2</v>
      </c>
      <c r="E59" s="28">
        <v>6.3930000000000001E-2</v>
      </c>
      <c r="F59" s="28">
        <v>6.2869999999999995E-2</v>
      </c>
      <c r="G59" s="28">
        <v>-9.7000000000000003E-3</v>
      </c>
    </row>
    <row r="60" spans="2:7" x14ac:dyDescent="0.3">
      <c r="B60" s="33">
        <v>44206</v>
      </c>
      <c r="C60" s="28">
        <v>6.3879999999999992E-2</v>
      </c>
      <c r="D60" s="28">
        <v>6.2300000000000001E-2</v>
      </c>
      <c r="E60" s="28">
        <v>6.429E-2</v>
      </c>
      <c r="F60" s="28">
        <v>6.2260000000000003E-2</v>
      </c>
      <c r="G60" s="28">
        <v>2.6499999999999999E-2</v>
      </c>
    </row>
    <row r="61" spans="2:7" x14ac:dyDescent="0.3">
      <c r="B61" s="33">
        <v>44205</v>
      </c>
      <c r="C61" s="28">
        <v>6.2230000000000001E-2</v>
      </c>
      <c r="D61" s="28">
        <v>6.2350000000000003E-2</v>
      </c>
      <c r="E61" s="28">
        <v>6.2350000000000003E-2</v>
      </c>
      <c r="F61" s="28">
        <v>6.1159999999999999E-2</v>
      </c>
      <c r="G61" s="28">
        <v>1.2999999999999999E-3</v>
      </c>
    </row>
    <row r="62" spans="2:7" x14ac:dyDescent="0.3">
      <c r="B62" s="33">
        <v>44204</v>
      </c>
      <c r="C62" s="28">
        <v>6.2149999999999997E-2</v>
      </c>
      <c r="D62" s="28">
        <v>6.2039999999999998E-2</v>
      </c>
      <c r="E62" s="28">
        <v>6.2839999999999993E-2</v>
      </c>
      <c r="F62" s="28">
        <v>6.1879999999999998E-2</v>
      </c>
      <c r="G62" s="28">
        <v>1.8E-3</v>
      </c>
    </row>
    <row r="63" spans="2:7" x14ac:dyDescent="0.3">
      <c r="B63" s="33">
        <v>44203</v>
      </c>
      <c r="C63" s="28">
        <v>6.2039999999999998E-2</v>
      </c>
      <c r="D63" s="28">
        <v>6.0819999999999999E-2</v>
      </c>
      <c r="E63" s="28">
        <v>6.2770000000000006E-2</v>
      </c>
      <c r="F63" s="28">
        <v>6.0350000000000001E-2</v>
      </c>
      <c r="G63" s="28">
        <v>2.53E-2</v>
      </c>
    </row>
    <row r="64" spans="2:7" x14ac:dyDescent="0.3">
      <c r="B64" s="33">
        <v>44202</v>
      </c>
      <c r="C64" s="28">
        <v>6.0510000000000001E-2</v>
      </c>
      <c r="D64" s="28">
        <v>6.0319999999999999E-2</v>
      </c>
      <c r="E64" s="28">
        <v>6.0890000000000007E-2</v>
      </c>
      <c r="F64" s="28">
        <v>5.9839999999999997E-2</v>
      </c>
      <c r="G64" s="28">
        <v>4.7999999999999996E-3</v>
      </c>
    </row>
    <row r="65" spans="2:7" x14ac:dyDescent="0.3">
      <c r="B65" s="33">
        <v>44201</v>
      </c>
      <c r="C65" s="28">
        <v>6.0220000000000003E-2</v>
      </c>
      <c r="D65" s="28">
        <v>6.0289999999999996E-2</v>
      </c>
      <c r="E65" s="28">
        <v>6.0479999999999999E-2</v>
      </c>
      <c r="F65" s="28">
        <v>5.9580000000000001E-2</v>
      </c>
      <c r="G65" s="28">
        <v>-1.2999999999999999E-3</v>
      </c>
    </row>
    <row r="66" spans="2:7" x14ac:dyDescent="0.3">
      <c r="B66" s="33">
        <v>44200</v>
      </c>
      <c r="C66" s="28">
        <v>6.0299999999999999E-2</v>
      </c>
      <c r="D66" s="28">
        <v>6.2019999999999999E-2</v>
      </c>
      <c r="E66" s="28">
        <v>6.2019999999999999E-2</v>
      </c>
      <c r="F66" s="28">
        <v>5.9900000000000002E-2</v>
      </c>
      <c r="G66" s="28">
        <v>-2.3800000000000002E-2</v>
      </c>
    </row>
    <row r="67" spans="2:7" x14ac:dyDescent="0.3">
      <c r="B67" s="33">
        <v>44199</v>
      </c>
      <c r="C67" s="28">
        <v>6.1769999999999999E-2</v>
      </c>
      <c r="D67" s="28">
        <v>6.2359999999999999E-2</v>
      </c>
      <c r="E67" s="28">
        <v>6.2740000000000004E-2</v>
      </c>
      <c r="F67" s="28">
        <v>6.114E-2</v>
      </c>
      <c r="G67" s="28">
        <v>-8.3000000000000001E-3</v>
      </c>
    </row>
    <row r="68" spans="2:7" x14ac:dyDescent="0.3">
      <c r="B68" s="33">
        <v>44198</v>
      </c>
      <c r="C68" s="28">
        <v>6.2289999999999998E-2</v>
      </c>
      <c r="D68" s="28">
        <v>5.917E-2</v>
      </c>
      <c r="E68" s="28">
        <v>6.2420000000000003E-2</v>
      </c>
      <c r="F68" s="28">
        <v>5.8880000000000002E-2</v>
      </c>
      <c r="G68" s="28">
        <v>4.7100000000000003E-2</v>
      </c>
    </row>
    <row r="69" spans="2:7" x14ac:dyDescent="0.3">
      <c r="B69" s="33">
        <v>44197</v>
      </c>
      <c r="C69" s="28">
        <v>5.9490000000000001E-2</v>
      </c>
      <c r="D69" s="28">
        <v>5.9050000000000005E-2</v>
      </c>
      <c r="E69" s="28">
        <v>5.9880000000000003E-2</v>
      </c>
      <c r="F69" s="28">
        <v>5.8390000000000004E-2</v>
      </c>
      <c r="G69" s="28">
        <v>9.2999999999999992E-3</v>
      </c>
    </row>
    <row r="70" spans="2:7" x14ac:dyDescent="0.3">
      <c r="B70" s="33">
        <v>43842</v>
      </c>
      <c r="C70" s="28">
        <v>5.8939999999999999E-2</v>
      </c>
      <c r="D70" s="28">
        <v>5.9189999999999993E-2</v>
      </c>
      <c r="E70" s="28">
        <v>5.9810000000000002E-2</v>
      </c>
      <c r="F70" s="28">
        <v>5.8869999999999999E-2</v>
      </c>
      <c r="G70" s="28">
        <v>-2.8999999999999998E-3</v>
      </c>
    </row>
    <row r="71" spans="2:7" x14ac:dyDescent="0.3">
      <c r="B71" s="33">
        <v>43841</v>
      </c>
      <c r="C71" s="28">
        <v>5.9109999999999996E-2</v>
      </c>
      <c r="D71" s="28">
        <v>5.8899999999999994E-2</v>
      </c>
      <c r="E71" s="28">
        <v>5.9359999999999996E-2</v>
      </c>
      <c r="F71" s="28">
        <v>5.8369999999999998E-2</v>
      </c>
      <c r="G71" s="28">
        <v>5.1000000000000004E-3</v>
      </c>
    </row>
    <row r="72" spans="2:7" x14ac:dyDescent="0.3">
      <c r="B72" s="33">
        <v>43840</v>
      </c>
      <c r="C72" s="28">
        <v>5.8810000000000001E-2</v>
      </c>
      <c r="D72" s="28">
        <v>5.9650000000000002E-2</v>
      </c>
      <c r="E72" s="28">
        <v>6.0420000000000001E-2</v>
      </c>
      <c r="F72" s="28">
        <v>5.7910000000000003E-2</v>
      </c>
      <c r="G72" s="28">
        <v>-2.23E-2</v>
      </c>
    </row>
    <row r="73" spans="2:7" x14ac:dyDescent="0.3">
      <c r="B73" s="33">
        <v>43839</v>
      </c>
      <c r="C73" s="28">
        <v>6.0149999999999995E-2</v>
      </c>
      <c r="D73" s="28">
        <v>5.9490000000000001E-2</v>
      </c>
      <c r="E73" s="28">
        <v>6.1089999999999998E-2</v>
      </c>
      <c r="F73" s="28">
        <v>5.8779999999999999E-2</v>
      </c>
      <c r="G73" s="28">
        <v>-1.04E-2</v>
      </c>
    </row>
    <row r="74" spans="2:7" x14ac:dyDescent="0.3">
      <c r="B74" s="33">
        <v>43838</v>
      </c>
      <c r="C74" s="28">
        <v>6.0780000000000001E-2</v>
      </c>
      <c r="D74" s="28">
        <v>5.8459999999999998E-2</v>
      </c>
      <c r="E74" s="28">
        <v>6.2309999999999997E-2</v>
      </c>
      <c r="F74" s="28">
        <v>5.808E-2</v>
      </c>
      <c r="G74" s="28">
        <v>4.1300000000000003E-2</v>
      </c>
    </row>
    <row r="75" spans="2:7" x14ac:dyDescent="0.3">
      <c r="B75" s="33">
        <v>43837</v>
      </c>
      <c r="C75" s="28">
        <v>5.8369999999999998E-2</v>
      </c>
      <c r="D75" s="28">
        <v>5.9069999999999998E-2</v>
      </c>
      <c r="E75" s="28">
        <v>5.9069999999999998E-2</v>
      </c>
      <c r="F75" s="28">
        <v>5.747E-2</v>
      </c>
      <c r="G75" s="28">
        <v>-8.6999999999999994E-3</v>
      </c>
    </row>
    <row r="76" spans="2:7" x14ac:dyDescent="0.3">
      <c r="B76" s="33">
        <v>43836</v>
      </c>
      <c r="C76" s="28">
        <v>5.8880000000000002E-2</v>
      </c>
      <c r="D76" s="28">
        <v>6.055E-2</v>
      </c>
      <c r="E76" s="28">
        <v>6.0890000000000007E-2</v>
      </c>
      <c r="F76" s="28">
        <v>5.7549999999999997E-2</v>
      </c>
      <c r="G76" s="28">
        <v>-2.0799999999999999E-2</v>
      </c>
    </row>
    <row r="77" spans="2:7" x14ac:dyDescent="0.3">
      <c r="B77" s="33">
        <v>43835</v>
      </c>
      <c r="C77" s="28">
        <v>6.0129999999999996E-2</v>
      </c>
      <c r="D77" s="28">
        <v>6.1379999999999997E-2</v>
      </c>
      <c r="E77" s="28">
        <v>6.25E-2</v>
      </c>
      <c r="F77" s="28">
        <v>5.8789999999999995E-2</v>
      </c>
      <c r="G77" s="28">
        <v>-1.5900000000000001E-2</v>
      </c>
    </row>
    <row r="78" spans="2:7" x14ac:dyDescent="0.3">
      <c r="B78" s="33">
        <v>43834</v>
      </c>
      <c r="C78" s="28">
        <v>6.1100000000000002E-2</v>
      </c>
      <c r="D78" s="28">
        <v>6.2869999999999995E-2</v>
      </c>
      <c r="E78" s="28">
        <v>6.5040000000000001E-2</v>
      </c>
      <c r="F78" s="28">
        <v>6.0149999999999995E-2</v>
      </c>
      <c r="G78" s="28">
        <v>-4.5999999999999999E-3</v>
      </c>
    </row>
    <row r="79" spans="2:7" x14ac:dyDescent="0.3">
      <c r="B79" s="33">
        <v>43833</v>
      </c>
      <c r="C79" s="28">
        <v>6.1379999999999997E-2</v>
      </c>
      <c r="D79" s="28">
        <v>6.343E-2</v>
      </c>
      <c r="E79" s="28">
        <v>6.4489999999999992E-2</v>
      </c>
      <c r="F79" s="28">
        <v>5.9950000000000003E-2</v>
      </c>
      <c r="G79" s="28">
        <v>-3.6600000000000001E-2</v>
      </c>
    </row>
    <row r="80" spans="2:7" x14ac:dyDescent="0.3">
      <c r="B80" s="33">
        <v>43832</v>
      </c>
      <c r="C80" s="28">
        <v>6.3710000000000003E-2</v>
      </c>
      <c r="D80" s="28">
        <v>6.5090000000000009E-2</v>
      </c>
      <c r="E80" s="28">
        <v>6.5199999999999994E-2</v>
      </c>
      <c r="F80" s="28">
        <v>6.3259999999999997E-2</v>
      </c>
      <c r="G80" s="28">
        <v>-3.4599999999999999E-2</v>
      </c>
    </row>
    <row r="81" spans="2:7" x14ac:dyDescent="0.3">
      <c r="B81" s="33">
        <v>43831</v>
      </c>
      <c r="C81" s="28">
        <v>6.5990000000000007E-2</v>
      </c>
      <c r="D81" s="28">
        <v>6.5479999999999997E-2</v>
      </c>
      <c r="E81" s="28">
        <v>6.6920000000000007E-2</v>
      </c>
      <c r="F81" s="28">
        <v>6.4850000000000005E-2</v>
      </c>
      <c r="G81" s="28">
        <v>6.8999999999999999E-3</v>
      </c>
    </row>
    <row r="82" spans="2:7" x14ac:dyDescent="0.3">
      <c r="B82" s="33">
        <v>43477</v>
      </c>
      <c r="C82" s="28">
        <v>6.5540000000000001E-2</v>
      </c>
      <c r="D82" s="28">
        <v>6.4630000000000007E-2</v>
      </c>
      <c r="E82" s="28">
        <v>6.837E-2</v>
      </c>
      <c r="F82" s="28">
        <v>6.448000000000001E-2</v>
      </c>
      <c r="G82" s="28">
        <v>1.46E-2</v>
      </c>
    </row>
    <row r="83" spans="2:7" x14ac:dyDescent="0.3">
      <c r="B83" s="33">
        <v>43476</v>
      </c>
      <c r="C83" s="28">
        <v>6.4600000000000005E-2</v>
      </c>
      <c r="D83" s="28">
        <v>6.4310000000000006E-2</v>
      </c>
      <c r="E83" s="28">
        <v>6.5739999999999993E-2</v>
      </c>
      <c r="F83" s="28">
        <v>6.4149999999999999E-2</v>
      </c>
      <c r="G83" s="28">
        <v>-2.75E-2</v>
      </c>
    </row>
    <row r="84" spans="2:7" x14ac:dyDescent="0.3">
      <c r="B84" s="33">
        <v>43475</v>
      </c>
      <c r="C84" s="28">
        <v>6.6430000000000003E-2</v>
      </c>
      <c r="D84" s="28">
        <v>6.6799999999999998E-2</v>
      </c>
      <c r="E84" s="28">
        <v>6.7390000000000005E-2</v>
      </c>
      <c r="F84" s="28">
        <v>6.5820000000000004E-2</v>
      </c>
      <c r="G84" s="28">
        <v>-7.7999999999999996E-3</v>
      </c>
    </row>
    <row r="85" spans="2:7" x14ac:dyDescent="0.3">
      <c r="B85" s="33">
        <v>43474</v>
      </c>
      <c r="C85" s="28">
        <v>6.695000000000001E-2</v>
      </c>
      <c r="D85" s="28">
        <v>6.4979999999999996E-2</v>
      </c>
      <c r="E85" s="28">
        <v>6.8739999999999996E-2</v>
      </c>
      <c r="F85" s="28">
        <v>6.4880000000000007E-2</v>
      </c>
      <c r="G85" s="28">
        <v>2.12E-2</v>
      </c>
    </row>
    <row r="86" spans="2:7" x14ac:dyDescent="0.3">
      <c r="B86" s="33">
        <v>43473</v>
      </c>
      <c r="C86" s="28">
        <v>6.5560000000000007E-2</v>
      </c>
      <c r="D86" s="28">
        <v>6.3939999999999997E-2</v>
      </c>
      <c r="E86" s="28">
        <v>6.6390000000000005E-2</v>
      </c>
      <c r="F86" s="28">
        <v>6.2960000000000002E-2</v>
      </c>
      <c r="G86" s="28">
        <v>2.9399999999999999E-2</v>
      </c>
    </row>
    <row r="87" spans="2:7" x14ac:dyDescent="0.3">
      <c r="B87" s="33">
        <v>43472</v>
      </c>
      <c r="C87" s="28">
        <v>6.3689999999999997E-2</v>
      </c>
      <c r="D87" s="28">
        <v>6.9059999999999996E-2</v>
      </c>
      <c r="E87" s="28">
        <v>6.93E-2</v>
      </c>
      <c r="F87" s="28">
        <v>6.2659999999999993E-2</v>
      </c>
      <c r="G87" s="28">
        <v>-7.4099999999999999E-2</v>
      </c>
    </row>
    <row r="88" spans="2:7" x14ac:dyDescent="0.3">
      <c r="B88" s="33">
        <v>43471</v>
      </c>
      <c r="C88" s="28">
        <v>6.878999999999999E-2</v>
      </c>
      <c r="D88" s="28">
        <v>6.9489999999999996E-2</v>
      </c>
      <c r="E88" s="28">
        <v>7.0970000000000005E-2</v>
      </c>
      <c r="F88" s="28">
        <v>6.7339999999999997E-2</v>
      </c>
      <c r="G88" s="28">
        <v>-2.18E-2</v>
      </c>
    </row>
    <row r="89" spans="2:7" x14ac:dyDescent="0.3">
      <c r="B89" s="33">
        <v>43470</v>
      </c>
      <c r="C89" s="28">
        <v>7.0319999999999994E-2</v>
      </c>
      <c r="D89" s="28">
        <v>7.4109999999999995E-2</v>
      </c>
      <c r="E89" s="28">
        <v>7.4260000000000007E-2</v>
      </c>
      <c r="F89" s="28">
        <v>7.0300000000000001E-2</v>
      </c>
      <c r="G89" s="28">
        <v>-5.1499999999999997E-2</v>
      </c>
    </row>
    <row r="90" spans="2:7" x14ac:dyDescent="0.3">
      <c r="B90" s="33">
        <v>43469</v>
      </c>
      <c r="C90" s="28">
        <v>7.4139999999999998E-2</v>
      </c>
      <c r="D90" s="28">
        <v>7.356E-2</v>
      </c>
      <c r="E90" s="28">
        <v>7.4969999999999995E-2</v>
      </c>
      <c r="F90" s="28">
        <v>7.2290000000000007E-2</v>
      </c>
      <c r="G90" s="28">
        <v>9.2999999999999992E-3</v>
      </c>
    </row>
    <row r="91" spans="2:7" x14ac:dyDescent="0.3">
      <c r="B91" s="33">
        <v>43468</v>
      </c>
      <c r="C91" s="28">
        <v>7.3459999999999998E-2</v>
      </c>
      <c r="D91" s="28">
        <v>7.5880000000000003E-2</v>
      </c>
      <c r="E91" s="28">
        <v>7.5899999999999995E-2</v>
      </c>
      <c r="F91" s="28">
        <v>7.3010000000000005E-2</v>
      </c>
      <c r="G91" s="28">
        <v>-3.2300000000000002E-2</v>
      </c>
    </row>
    <row r="92" spans="2:7" x14ac:dyDescent="0.3">
      <c r="B92" s="33">
        <v>43467</v>
      </c>
      <c r="C92" s="28">
        <v>7.5910000000000005E-2</v>
      </c>
      <c r="D92" s="28">
        <v>7.4700000000000003E-2</v>
      </c>
      <c r="E92" s="28">
        <v>7.6990000000000003E-2</v>
      </c>
      <c r="F92" s="28">
        <v>7.4249999999999997E-2</v>
      </c>
      <c r="G92" s="28">
        <v>1.44E-2</v>
      </c>
    </row>
    <row r="93" spans="2:7" x14ac:dyDescent="0.3">
      <c r="B93" s="33">
        <v>43466</v>
      </c>
      <c r="C93" s="28">
        <v>7.4829999999999994E-2</v>
      </c>
      <c r="D93" s="28">
        <v>7.4009999999999992E-2</v>
      </c>
      <c r="E93" s="28">
        <v>7.6499999999999999E-2</v>
      </c>
      <c r="F93" s="28">
        <v>7.3499999999999996E-2</v>
      </c>
      <c r="G93" s="28">
        <v>1.5299999999999999E-2</v>
      </c>
    </row>
    <row r="94" spans="2:7" x14ac:dyDescent="0.3">
      <c r="B94" s="33">
        <v>43112</v>
      </c>
      <c r="C94" s="28">
        <v>7.3700000000000002E-2</v>
      </c>
      <c r="D94" s="28">
        <v>7.646E-2</v>
      </c>
      <c r="E94" s="28">
        <v>7.7030000000000001E-2</v>
      </c>
      <c r="F94" s="28">
        <v>7.2179999999999994E-2</v>
      </c>
      <c r="G94" s="28">
        <v>-3.1199999999999999E-2</v>
      </c>
    </row>
    <row r="95" spans="2:7" x14ac:dyDescent="0.3">
      <c r="B95" s="33">
        <v>43111</v>
      </c>
      <c r="C95" s="28">
        <v>7.6069999999999999E-2</v>
      </c>
      <c r="D95" s="28">
        <v>7.8310000000000005E-2</v>
      </c>
      <c r="E95" s="28">
        <v>7.8399999999999997E-2</v>
      </c>
      <c r="F95" s="28">
        <v>7.5759999999999994E-2</v>
      </c>
      <c r="G95" s="28">
        <v>-3.1300000000000001E-2</v>
      </c>
    </row>
    <row r="96" spans="2:7" x14ac:dyDescent="0.3">
      <c r="B96" s="33">
        <v>43110</v>
      </c>
      <c r="C96" s="28">
        <v>7.8530000000000003E-2</v>
      </c>
      <c r="D96" s="28">
        <v>7.9229999999999995E-2</v>
      </c>
      <c r="E96" s="28">
        <v>8.2100000000000006E-2</v>
      </c>
      <c r="F96" s="28">
        <v>7.7969999999999998E-2</v>
      </c>
      <c r="G96" s="28">
        <v>-2.1299999999999999E-2</v>
      </c>
    </row>
    <row r="97" spans="2:7" x14ac:dyDescent="0.3">
      <c r="B97" s="33">
        <v>43109</v>
      </c>
      <c r="C97" s="28">
        <v>8.0239999999999992E-2</v>
      </c>
      <c r="D97" s="28">
        <v>7.9399999999999998E-2</v>
      </c>
      <c r="E97" s="28">
        <v>8.2309999999999994E-2</v>
      </c>
      <c r="F97" s="28">
        <v>7.9170000000000004E-2</v>
      </c>
      <c r="G97" s="28">
        <v>9.1999999999999998E-3</v>
      </c>
    </row>
    <row r="98" spans="2:7" x14ac:dyDescent="0.3">
      <c r="B98" s="33">
        <v>43108</v>
      </c>
      <c r="C98" s="28">
        <v>7.9509999999999997E-2</v>
      </c>
      <c r="D98" s="28">
        <v>7.7670000000000003E-2</v>
      </c>
      <c r="E98" s="28">
        <v>7.9579999999999998E-2</v>
      </c>
      <c r="F98" s="28">
        <v>7.6810000000000003E-2</v>
      </c>
      <c r="G98" s="28">
        <v>2.3E-2</v>
      </c>
    </row>
    <row r="99" spans="2:7" x14ac:dyDescent="0.3">
      <c r="B99" s="33">
        <v>43107</v>
      </c>
      <c r="C99" s="28">
        <v>7.7719999999999997E-2</v>
      </c>
      <c r="D99" s="28">
        <v>7.8890000000000002E-2</v>
      </c>
      <c r="E99" s="28">
        <v>7.9170000000000004E-2</v>
      </c>
      <c r="F99" s="28">
        <v>7.7229999999999993E-2</v>
      </c>
      <c r="G99" s="28">
        <v>-1.66E-2</v>
      </c>
    </row>
    <row r="100" spans="2:7" x14ac:dyDescent="0.3">
      <c r="B100" s="33">
        <v>43106</v>
      </c>
      <c r="C100" s="28">
        <v>7.9029999999999989E-2</v>
      </c>
      <c r="D100" s="28">
        <v>7.8600000000000003E-2</v>
      </c>
      <c r="E100" s="28">
        <v>0.08</v>
      </c>
      <c r="F100" s="28">
        <v>7.7689999999999995E-2</v>
      </c>
      <c r="G100" s="28">
        <v>9.7999999999999997E-3</v>
      </c>
    </row>
    <row r="101" spans="2:7" x14ac:dyDescent="0.3">
      <c r="B101" s="33">
        <v>43105</v>
      </c>
      <c r="C101" s="28">
        <v>7.8259999999999996E-2</v>
      </c>
      <c r="D101" s="28">
        <v>7.7310000000000004E-2</v>
      </c>
      <c r="E101" s="28">
        <v>7.9450000000000007E-2</v>
      </c>
      <c r="F101" s="28">
        <v>7.553E-2</v>
      </c>
      <c r="G101" s="28">
        <v>7.6E-3</v>
      </c>
    </row>
    <row r="102" spans="2:7" x14ac:dyDescent="0.3">
      <c r="B102" s="33">
        <v>43104</v>
      </c>
      <c r="C102" s="28">
        <v>7.7670000000000003E-2</v>
      </c>
      <c r="D102" s="28">
        <v>7.3330000000000006E-2</v>
      </c>
      <c r="E102" s="28">
        <v>7.7969999999999998E-2</v>
      </c>
      <c r="F102" s="28">
        <v>7.1230000000000002E-2</v>
      </c>
      <c r="G102" s="28">
        <v>4.99E-2</v>
      </c>
    </row>
    <row r="103" spans="2:7" x14ac:dyDescent="0.3">
      <c r="B103" s="33">
        <v>43103</v>
      </c>
      <c r="C103" s="28">
        <v>7.397999999999999E-2</v>
      </c>
      <c r="D103" s="28">
        <v>7.7259999999999995E-2</v>
      </c>
      <c r="E103" s="28">
        <v>7.8E-2</v>
      </c>
      <c r="F103" s="28">
        <v>7.2859999999999994E-2</v>
      </c>
      <c r="G103" s="28">
        <v>-4.2500000000000003E-2</v>
      </c>
    </row>
    <row r="104" spans="2:7" x14ac:dyDescent="0.3">
      <c r="B104" s="33">
        <v>43102</v>
      </c>
      <c r="C104" s="28">
        <v>7.7259999999999995E-2</v>
      </c>
      <c r="D104" s="28">
        <v>7.4459999999999998E-2</v>
      </c>
      <c r="E104" s="28">
        <v>7.8159999999999993E-2</v>
      </c>
      <c r="F104" s="28">
        <v>7.399E-2</v>
      </c>
      <c r="G104" s="28">
        <v>3.9800000000000002E-2</v>
      </c>
    </row>
    <row r="105" spans="2:7" x14ac:dyDescent="0.3">
      <c r="B105" s="33">
        <v>43101</v>
      </c>
      <c r="C105" s="28">
        <v>7.4299999999999991E-2</v>
      </c>
      <c r="D105" s="28">
        <v>7.349E-2</v>
      </c>
      <c r="E105" s="28">
        <v>7.5869999999999993E-2</v>
      </c>
      <c r="F105" s="28">
        <v>7.2430000000000008E-2</v>
      </c>
      <c r="G105" s="28">
        <v>1.4200000000000001E-2</v>
      </c>
    </row>
    <row r="106" spans="2:7" x14ac:dyDescent="0.3">
      <c r="B106" s="33">
        <v>42747</v>
      </c>
      <c r="C106" s="28">
        <v>7.3259999999999992E-2</v>
      </c>
      <c r="D106" s="28">
        <v>7.0879999999999999E-2</v>
      </c>
      <c r="E106" s="28">
        <v>7.4099999999999999E-2</v>
      </c>
      <c r="F106" s="28">
        <v>7.0120000000000002E-2</v>
      </c>
      <c r="G106" s="28">
        <v>3.7999999999999999E-2</v>
      </c>
    </row>
    <row r="107" spans="2:7" x14ac:dyDescent="0.3">
      <c r="B107" s="33">
        <v>42746</v>
      </c>
      <c r="C107" s="28">
        <v>7.0580000000000004E-2</v>
      </c>
      <c r="D107" s="28">
        <v>6.878999999999999E-2</v>
      </c>
      <c r="E107" s="28">
        <v>7.084E-2</v>
      </c>
      <c r="F107" s="28">
        <v>6.8470000000000003E-2</v>
      </c>
      <c r="G107" s="28">
        <v>2.86E-2</v>
      </c>
    </row>
    <row r="108" spans="2:7" x14ac:dyDescent="0.3">
      <c r="B108" s="33">
        <v>42745</v>
      </c>
      <c r="C108" s="28">
        <v>6.862E-2</v>
      </c>
      <c r="D108" s="28">
        <v>6.6740000000000008E-2</v>
      </c>
      <c r="E108" s="28">
        <v>6.898E-2</v>
      </c>
      <c r="F108" s="28">
        <v>6.6250000000000003E-2</v>
      </c>
      <c r="G108" s="28">
        <v>2.9899999999999999E-2</v>
      </c>
    </row>
    <row r="109" spans="2:7" x14ac:dyDescent="0.3">
      <c r="B109" s="33">
        <v>42744</v>
      </c>
      <c r="C109" s="28">
        <v>6.6630000000000009E-2</v>
      </c>
      <c r="D109" s="28">
        <v>6.4920000000000005E-2</v>
      </c>
      <c r="E109" s="28">
        <v>6.7099999999999993E-2</v>
      </c>
      <c r="F109" s="28">
        <v>6.4770000000000008E-2</v>
      </c>
      <c r="G109" s="28">
        <v>2.1100000000000001E-2</v>
      </c>
    </row>
    <row r="110" spans="2:7" x14ac:dyDescent="0.3">
      <c r="B110" s="33">
        <v>42743</v>
      </c>
      <c r="C110" s="28">
        <v>6.5250000000000002E-2</v>
      </c>
      <c r="D110" s="28">
        <v>6.4659999999999995E-2</v>
      </c>
      <c r="E110" s="28">
        <v>6.5759999999999999E-2</v>
      </c>
      <c r="F110" s="28">
        <v>6.4189999999999997E-2</v>
      </c>
      <c r="G110" s="28">
        <v>9.2999999999999992E-3</v>
      </c>
    </row>
    <row r="111" spans="2:7" x14ac:dyDescent="0.3">
      <c r="B111" s="33">
        <v>42742</v>
      </c>
      <c r="C111" s="28">
        <v>6.4649999999999999E-2</v>
      </c>
      <c r="D111" s="28">
        <v>6.6100000000000006E-2</v>
      </c>
      <c r="E111" s="28">
        <v>6.6180000000000003E-2</v>
      </c>
      <c r="F111" s="28">
        <v>6.404E-2</v>
      </c>
      <c r="G111" s="28">
        <v>-7.1000000000000004E-3</v>
      </c>
    </row>
    <row r="112" spans="2:7" x14ac:dyDescent="0.3">
      <c r="B112" s="33">
        <v>42741</v>
      </c>
      <c r="C112" s="28">
        <v>6.5110000000000001E-2</v>
      </c>
      <c r="D112" s="28">
        <v>6.6489999999999994E-2</v>
      </c>
      <c r="E112" s="28">
        <v>6.6720000000000002E-2</v>
      </c>
      <c r="F112" s="28">
        <v>6.4189999999999997E-2</v>
      </c>
      <c r="G112" s="28">
        <v>-2.2499999999999999E-2</v>
      </c>
    </row>
    <row r="113" spans="2:7" x14ac:dyDescent="0.3">
      <c r="B113" s="33">
        <v>42740</v>
      </c>
      <c r="C113" s="28">
        <v>6.6610000000000003E-2</v>
      </c>
      <c r="D113" s="28">
        <v>6.9680000000000006E-2</v>
      </c>
      <c r="E113" s="28">
        <v>6.9940000000000002E-2</v>
      </c>
      <c r="F113" s="28">
        <v>6.6529999999999992E-2</v>
      </c>
      <c r="G113" s="28">
        <v>-4.3099999999999999E-2</v>
      </c>
    </row>
    <row r="114" spans="2:7" x14ac:dyDescent="0.3">
      <c r="B114" s="33">
        <v>42739</v>
      </c>
      <c r="C114" s="28">
        <v>6.9610000000000005E-2</v>
      </c>
      <c r="D114" s="28">
        <v>6.658E-2</v>
      </c>
      <c r="E114" s="28">
        <v>6.9830000000000003E-2</v>
      </c>
      <c r="F114" s="28">
        <v>6.5540000000000001E-2</v>
      </c>
      <c r="G114" s="28">
        <v>4.5499999999999999E-2</v>
      </c>
    </row>
    <row r="115" spans="2:7" x14ac:dyDescent="0.3">
      <c r="B115" s="33">
        <v>42738</v>
      </c>
      <c r="C115" s="28">
        <v>6.658E-2</v>
      </c>
      <c r="D115" s="28">
        <v>6.898E-2</v>
      </c>
      <c r="E115" s="28">
        <v>6.9320000000000007E-2</v>
      </c>
      <c r="F115" s="28">
        <v>6.6650000000000001E-2</v>
      </c>
      <c r="G115" s="28">
        <v>-3.09E-2</v>
      </c>
    </row>
    <row r="116" spans="2:7" x14ac:dyDescent="0.3">
      <c r="B116" s="33">
        <v>42737</v>
      </c>
      <c r="C116" s="28">
        <v>6.8699999999999997E-2</v>
      </c>
      <c r="D116" s="28">
        <v>6.402999999999999E-2</v>
      </c>
      <c r="E116" s="28">
        <v>6.9530000000000008E-2</v>
      </c>
      <c r="F116" s="28">
        <v>6.3759999999999997E-2</v>
      </c>
      <c r="G116" s="28">
        <v>7.2300000000000003E-2</v>
      </c>
    </row>
    <row r="117" spans="2:7" x14ac:dyDescent="0.3">
      <c r="B117" s="33">
        <v>42736</v>
      </c>
      <c r="C117" s="28">
        <v>6.4070000000000002E-2</v>
      </c>
      <c r="D117" s="28">
        <v>6.4829999999999999E-2</v>
      </c>
      <c r="E117" s="28">
        <v>6.4939999999999998E-2</v>
      </c>
      <c r="F117" s="28">
        <v>6.2939999999999996E-2</v>
      </c>
      <c r="G117" s="28">
        <v>-1.61E-2</v>
      </c>
    </row>
    <row r="118" spans="2:7" x14ac:dyDescent="0.3">
      <c r="B118" s="33">
        <v>42381</v>
      </c>
      <c r="C118" s="28">
        <v>6.5119999999999997E-2</v>
      </c>
      <c r="D118" s="28">
        <v>6.2570000000000001E-2</v>
      </c>
      <c r="E118" s="28">
        <v>6.6199999999999995E-2</v>
      </c>
      <c r="F118" s="28">
        <v>6.1689999999999995E-2</v>
      </c>
      <c r="G118" s="28">
        <v>4.3099999999999999E-2</v>
      </c>
    </row>
    <row r="119" spans="2:7" x14ac:dyDescent="0.3">
      <c r="B119" s="33">
        <v>42380</v>
      </c>
      <c r="C119" s="28">
        <v>6.2430000000000006E-2</v>
      </c>
      <c r="D119" s="28">
        <v>6.8729999999999999E-2</v>
      </c>
      <c r="E119" s="28">
        <v>6.9290000000000004E-2</v>
      </c>
      <c r="F119" s="28">
        <v>6.1130000000000004E-2</v>
      </c>
      <c r="G119" s="28">
        <v>-9.3200000000000005E-2</v>
      </c>
    </row>
    <row r="120" spans="2:7" x14ac:dyDescent="0.3">
      <c r="B120" s="33">
        <v>42379</v>
      </c>
      <c r="C120" s="28">
        <v>6.8849999999999995E-2</v>
      </c>
      <c r="D120" s="28">
        <v>6.9560000000000011E-2</v>
      </c>
      <c r="E120" s="28">
        <v>6.9560000000000011E-2</v>
      </c>
      <c r="F120" s="28">
        <v>6.7830000000000001E-2</v>
      </c>
      <c r="G120" s="28">
        <v>-1.0500000000000001E-2</v>
      </c>
    </row>
    <row r="121" spans="2:7" x14ac:dyDescent="0.3">
      <c r="B121" s="33">
        <v>42378</v>
      </c>
      <c r="C121" s="28">
        <v>6.9580000000000003E-2</v>
      </c>
      <c r="D121" s="28">
        <v>7.1040000000000006E-2</v>
      </c>
      <c r="E121" s="28">
        <v>7.1260000000000004E-2</v>
      </c>
      <c r="F121" s="28">
        <v>6.9099999999999995E-2</v>
      </c>
      <c r="G121" s="28">
        <v>-2.1399999999999999E-2</v>
      </c>
    </row>
    <row r="122" spans="2:7" x14ac:dyDescent="0.3">
      <c r="B122" s="33">
        <v>42377</v>
      </c>
      <c r="C122" s="28">
        <v>7.1099999999999997E-2</v>
      </c>
      <c r="D122" s="28">
        <v>7.1379999999999999E-2</v>
      </c>
      <c r="E122" s="28">
        <v>7.2249999999999995E-2</v>
      </c>
      <c r="F122" s="28">
        <v>7.0739999999999997E-2</v>
      </c>
      <c r="G122" s="28">
        <v>-7.4000000000000003E-3</v>
      </c>
    </row>
    <row r="123" spans="2:7" x14ac:dyDescent="0.3">
      <c r="B123" s="33">
        <v>42376</v>
      </c>
      <c r="C123" s="28">
        <v>7.1629999999999999E-2</v>
      </c>
      <c r="D123" s="28">
        <v>7.4410000000000004E-2</v>
      </c>
      <c r="E123" s="28">
        <v>7.4410000000000004E-2</v>
      </c>
      <c r="F123" s="28">
        <v>7.1609999999999993E-2</v>
      </c>
      <c r="G123" s="28">
        <v>-3.8300000000000001E-2</v>
      </c>
    </row>
    <row r="124" spans="2:7" x14ac:dyDescent="0.3">
      <c r="B124" s="33">
        <v>42375</v>
      </c>
      <c r="C124" s="28">
        <v>7.4480000000000005E-2</v>
      </c>
      <c r="D124" s="28">
        <v>7.4730000000000005E-2</v>
      </c>
      <c r="E124" s="28">
        <v>7.5459999999999999E-2</v>
      </c>
      <c r="F124" s="28">
        <v>7.4209999999999998E-2</v>
      </c>
      <c r="G124" s="28">
        <v>-3.0999999999999999E-3</v>
      </c>
    </row>
    <row r="125" spans="2:7" x14ac:dyDescent="0.3">
      <c r="B125" s="33">
        <v>42374</v>
      </c>
      <c r="C125" s="28">
        <v>7.4709999999999999E-2</v>
      </c>
      <c r="D125" s="28">
        <v>7.4389999999999998E-2</v>
      </c>
      <c r="E125" s="28">
        <v>7.4990000000000001E-2</v>
      </c>
      <c r="F125" s="28">
        <v>7.4189999999999992E-2</v>
      </c>
      <c r="G125" s="28">
        <v>4.7999999999999996E-3</v>
      </c>
    </row>
    <row r="126" spans="2:7" x14ac:dyDescent="0.3">
      <c r="B126" s="33">
        <v>42373</v>
      </c>
      <c r="C126" s="28">
        <v>7.4349999999999999E-2</v>
      </c>
      <c r="D126" s="28">
        <v>7.4509999999999993E-2</v>
      </c>
      <c r="E126" s="28">
        <v>7.4959999999999999E-2</v>
      </c>
      <c r="F126" s="28">
        <v>7.3529999999999998E-2</v>
      </c>
      <c r="G126" s="28">
        <v>-3.2000000000000002E-3</v>
      </c>
    </row>
    <row r="127" spans="2:7" x14ac:dyDescent="0.3">
      <c r="B127" s="33">
        <v>42372</v>
      </c>
      <c r="C127" s="28">
        <v>7.458999999999999E-2</v>
      </c>
      <c r="D127" s="28">
        <v>7.6299999999999993E-2</v>
      </c>
      <c r="E127" s="28">
        <v>7.6719999999999997E-2</v>
      </c>
      <c r="F127" s="28">
        <v>7.4529999999999999E-2</v>
      </c>
      <c r="G127" s="28">
        <v>-2.1499999999999998E-2</v>
      </c>
    </row>
    <row r="128" spans="2:7" x14ac:dyDescent="0.3">
      <c r="B128" s="33">
        <v>42371</v>
      </c>
      <c r="C128" s="28">
        <v>7.6230000000000006E-2</v>
      </c>
      <c r="D128" s="28">
        <v>7.7929999999999999E-2</v>
      </c>
      <c r="E128" s="28">
        <v>7.8789999999999999E-2</v>
      </c>
      <c r="F128" s="28">
        <v>7.6170000000000002E-2</v>
      </c>
      <c r="G128" s="28">
        <v>-2.01E-2</v>
      </c>
    </row>
    <row r="129" spans="2:7" x14ac:dyDescent="0.3">
      <c r="B129" s="33">
        <v>42370</v>
      </c>
      <c r="C129" s="28">
        <v>7.7789999999999998E-2</v>
      </c>
      <c r="D129" s="28">
        <v>7.7539999999999998E-2</v>
      </c>
      <c r="E129" s="28">
        <v>7.8320000000000001E-2</v>
      </c>
      <c r="F129" s="28">
        <v>7.707E-2</v>
      </c>
      <c r="G129" s="28">
        <v>2.7000000000000001E-3</v>
      </c>
    </row>
    <row r="130" spans="2:7" x14ac:dyDescent="0.3">
      <c r="B130" s="33">
        <v>42016</v>
      </c>
      <c r="C130" s="28">
        <v>7.7579999999999996E-2</v>
      </c>
      <c r="D130" s="28">
        <v>7.7850000000000003E-2</v>
      </c>
      <c r="E130" s="28">
        <v>7.8179999999999999E-2</v>
      </c>
      <c r="F130" s="28">
        <v>7.6859999999999998E-2</v>
      </c>
      <c r="G130" s="28">
        <v>-3.5999999999999999E-3</v>
      </c>
    </row>
    <row r="131" spans="2:7" x14ac:dyDescent="0.3">
      <c r="B131" s="33">
        <v>42015</v>
      </c>
      <c r="C131" s="28">
        <v>7.7859999999999999E-2</v>
      </c>
      <c r="D131" s="28">
        <v>7.6399999999999996E-2</v>
      </c>
      <c r="E131" s="28">
        <v>7.7880000000000005E-2</v>
      </c>
      <c r="F131" s="28">
        <v>7.6100000000000001E-2</v>
      </c>
      <c r="G131" s="28">
        <v>1.9099999999999999E-2</v>
      </c>
    </row>
    <row r="132" spans="2:7" x14ac:dyDescent="0.3">
      <c r="B132" s="33">
        <v>42014</v>
      </c>
      <c r="C132" s="28">
        <v>7.6399999999999996E-2</v>
      </c>
      <c r="D132" s="28">
        <v>7.5270000000000004E-2</v>
      </c>
      <c r="E132" s="28">
        <v>7.6479999999999992E-2</v>
      </c>
      <c r="F132" s="28">
        <v>7.4959999999999999E-2</v>
      </c>
      <c r="G132" s="28">
        <v>1.34E-2</v>
      </c>
    </row>
    <row r="133" spans="2:7" x14ac:dyDescent="0.3">
      <c r="B133" s="33">
        <v>42013</v>
      </c>
      <c r="C133" s="28">
        <v>7.5389999999999999E-2</v>
      </c>
      <c r="D133" s="28">
        <v>7.7929999999999999E-2</v>
      </c>
      <c r="E133" s="28">
        <v>7.8030000000000002E-2</v>
      </c>
      <c r="F133" s="28">
        <v>7.5270000000000004E-2</v>
      </c>
      <c r="G133" s="28">
        <v>-3.15E-2</v>
      </c>
    </row>
    <row r="134" spans="2:7" x14ac:dyDescent="0.3">
      <c r="B134" s="33">
        <v>42012</v>
      </c>
      <c r="C134" s="28">
        <v>7.7839999999999993E-2</v>
      </c>
      <c r="D134" s="28">
        <v>7.7880000000000005E-2</v>
      </c>
      <c r="E134" s="28">
        <v>7.911E-2</v>
      </c>
      <c r="F134" s="28">
        <v>7.7119999999999994E-2</v>
      </c>
      <c r="G134" s="28">
        <v>-2.8E-3</v>
      </c>
    </row>
    <row r="135" spans="2:7" x14ac:dyDescent="0.3">
      <c r="B135" s="33">
        <v>42011</v>
      </c>
      <c r="C135" s="28">
        <v>7.8060000000000004E-2</v>
      </c>
      <c r="D135" s="28">
        <v>7.8649999999999998E-2</v>
      </c>
      <c r="E135" s="28">
        <v>7.9089999999999994E-2</v>
      </c>
      <c r="F135" s="28">
        <v>7.7249999999999999E-2</v>
      </c>
      <c r="G135" s="28">
        <v>-7.0000000000000001E-3</v>
      </c>
    </row>
    <row r="136" spans="2:7" x14ac:dyDescent="0.3">
      <c r="B136" s="33">
        <v>42010</v>
      </c>
      <c r="C136" s="28">
        <v>7.8609999999999999E-2</v>
      </c>
      <c r="D136" s="28">
        <v>7.8149999999999997E-2</v>
      </c>
      <c r="E136" s="28">
        <v>8.0169999999999991E-2</v>
      </c>
      <c r="F136" s="28">
        <v>7.689E-2</v>
      </c>
      <c r="G136" s="28">
        <v>5.8999999999999999E-3</v>
      </c>
    </row>
    <row r="137" spans="2:7" x14ac:dyDescent="0.3">
      <c r="B137" s="33">
        <v>42009</v>
      </c>
      <c r="C137" s="28">
        <v>7.8149999999999997E-2</v>
      </c>
      <c r="D137" s="28">
        <v>7.8750000000000001E-2</v>
      </c>
      <c r="E137" s="28">
        <v>8.0070000000000002E-2</v>
      </c>
      <c r="F137" s="28">
        <v>7.8090000000000007E-2</v>
      </c>
      <c r="G137" s="28">
        <v>-5.7000000000000002E-3</v>
      </c>
    </row>
    <row r="138" spans="2:7" x14ac:dyDescent="0.3">
      <c r="B138" s="33">
        <v>42008</v>
      </c>
      <c r="C138" s="28">
        <v>7.8600000000000003E-2</v>
      </c>
      <c r="D138" s="28">
        <v>7.7220000000000011E-2</v>
      </c>
      <c r="E138" s="28">
        <v>7.8730000000000008E-2</v>
      </c>
      <c r="F138" s="28">
        <v>7.7109999999999998E-2</v>
      </c>
      <c r="G138" s="28">
        <v>1.5800000000000002E-2</v>
      </c>
    </row>
    <row r="139" spans="2:7" x14ac:dyDescent="0.3">
      <c r="B139" s="33">
        <v>42007</v>
      </c>
      <c r="C139" s="28">
        <v>7.7380000000000004E-2</v>
      </c>
      <c r="D139" s="28">
        <v>7.7380000000000004E-2</v>
      </c>
      <c r="E139" s="28">
        <v>7.8109999999999999E-2</v>
      </c>
      <c r="F139" s="28">
        <v>7.6479999999999992E-2</v>
      </c>
      <c r="G139" s="28">
        <v>1.8E-3</v>
      </c>
    </row>
    <row r="140" spans="2:7" x14ac:dyDescent="0.3">
      <c r="B140" s="33">
        <v>42006</v>
      </c>
      <c r="C140" s="28">
        <v>7.7240000000000003E-2</v>
      </c>
      <c r="D140" s="28">
        <v>7.6999999999999999E-2</v>
      </c>
      <c r="E140" s="28">
        <v>7.7519999999999992E-2</v>
      </c>
      <c r="F140" s="28">
        <v>7.6399999999999996E-2</v>
      </c>
      <c r="G140" s="28">
        <v>4.3E-3</v>
      </c>
    </row>
    <row r="141" spans="2:7" x14ac:dyDescent="0.3">
      <c r="B141" s="33">
        <v>42005</v>
      </c>
      <c r="C141" s="28">
        <v>7.6909999999999992E-2</v>
      </c>
      <c r="D141" s="28">
        <v>7.8520000000000006E-2</v>
      </c>
      <c r="E141" s="28">
        <v>7.918E-2</v>
      </c>
      <c r="F141" s="28">
        <v>7.6719999999999997E-2</v>
      </c>
      <c r="G141" s="28">
        <v>-2.0899999999999998E-2</v>
      </c>
    </row>
    <row r="142" spans="2:7" x14ac:dyDescent="0.3">
      <c r="B142" s="33">
        <v>41651</v>
      </c>
      <c r="C142" s="28">
        <v>7.8550000000000009E-2</v>
      </c>
      <c r="D142" s="28">
        <v>8.0579999999999999E-2</v>
      </c>
      <c r="E142" s="28">
        <v>8.1099999999999992E-2</v>
      </c>
      <c r="F142" s="28">
        <v>7.7800000000000008E-2</v>
      </c>
      <c r="G142" s="28">
        <v>-2.87E-2</v>
      </c>
    </row>
    <row r="143" spans="2:7" x14ac:dyDescent="0.3">
      <c r="B143" s="33">
        <v>41650</v>
      </c>
      <c r="C143" s="28">
        <v>8.0869999999999997E-2</v>
      </c>
      <c r="D143" s="28">
        <v>8.2619999999999999E-2</v>
      </c>
      <c r="E143" s="28">
        <v>8.2659999999999997E-2</v>
      </c>
      <c r="F143" s="28">
        <v>8.0589999999999995E-2</v>
      </c>
      <c r="G143" s="28">
        <v>-2.3099999999999999E-2</v>
      </c>
    </row>
    <row r="144" spans="2:7" x14ac:dyDescent="0.3">
      <c r="B144" s="33">
        <v>41649</v>
      </c>
      <c r="C144" s="28">
        <v>8.2780000000000006E-2</v>
      </c>
      <c r="D144" s="28">
        <v>8.5109999999999991E-2</v>
      </c>
      <c r="E144" s="28">
        <v>8.5109999999999991E-2</v>
      </c>
      <c r="F144" s="28">
        <v>8.2550000000000012E-2</v>
      </c>
      <c r="G144" s="28">
        <v>-2.7400000000000001E-2</v>
      </c>
    </row>
    <row r="145" spans="2:7" x14ac:dyDescent="0.3">
      <c r="B145" s="33">
        <v>41648</v>
      </c>
      <c r="C145" s="28">
        <v>8.5109999999999991E-2</v>
      </c>
      <c r="D145" s="28">
        <v>8.5630000000000012E-2</v>
      </c>
      <c r="E145" s="28">
        <v>8.5630000000000012E-2</v>
      </c>
      <c r="F145" s="28">
        <v>8.4229999999999999E-2</v>
      </c>
      <c r="G145" s="28">
        <v>-5.5999999999999999E-3</v>
      </c>
    </row>
    <row r="146" spans="2:7" x14ac:dyDescent="0.3">
      <c r="B146" s="33">
        <v>41647</v>
      </c>
      <c r="C146" s="28">
        <v>8.5589999999999999E-2</v>
      </c>
      <c r="D146" s="28">
        <v>8.7469999999999992E-2</v>
      </c>
      <c r="E146" s="28">
        <v>8.8900000000000007E-2</v>
      </c>
      <c r="F146" s="28">
        <v>8.478999999999999E-2</v>
      </c>
      <c r="G146" s="28">
        <v>-1.8200000000000001E-2</v>
      </c>
    </row>
    <row r="147" spans="2:7" x14ac:dyDescent="0.3">
      <c r="B147" s="33">
        <v>41646</v>
      </c>
      <c r="C147" s="28">
        <v>8.7179999999999994E-2</v>
      </c>
      <c r="D147" s="28">
        <v>8.7390000000000009E-2</v>
      </c>
      <c r="E147" s="28">
        <v>8.8399999999999992E-2</v>
      </c>
      <c r="F147" s="28">
        <v>8.634E-2</v>
      </c>
      <c r="G147" s="28">
        <v>-3.0000000000000001E-3</v>
      </c>
    </row>
    <row r="148" spans="2:7" x14ac:dyDescent="0.3">
      <c r="B148" s="33">
        <v>41645</v>
      </c>
      <c r="C148" s="28">
        <v>8.7440000000000004E-2</v>
      </c>
      <c r="D148" s="28">
        <v>8.6519999999999986E-2</v>
      </c>
      <c r="E148" s="28">
        <v>8.7849999999999998E-2</v>
      </c>
      <c r="F148" s="28">
        <v>8.4970000000000004E-2</v>
      </c>
      <c r="G148" s="28">
        <v>1.15E-2</v>
      </c>
    </row>
    <row r="149" spans="2:7" x14ac:dyDescent="0.3">
      <c r="B149" s="33">
        <v>41644</v>
      </c>
      <c r="C149" s="28">
        <v>8.6449999999999999E-2</v>
      </c>
      <c r="D149" s="28">
        <v>8.8160000000000002E-2</v>
      </c>
      <c r="E149" s="28">
        <v>8.8749999999999996E-2</v>
      </c>
      <c r="F149" s="28">
        <v>8.5999999999999993E-2</v>
      </c>
      <c r="G149" s="28">
        <v>-2.07E-2</v>
      </c>
    </row>
    <row r="150" spans="2:7" x14ac:dyDescent="0.3">
      <c r="B150" s="33">
        <v>41643</v>
      </c>
      <c r="C150" s="28">
        <v>8.8279999999999997E-2</v>
      </c>
      <c r="D150" s="28">
        <v>8.863E-2</v>
      </c>
      <c r="E150" s="28">
        <v>9.1289999999999996E-2</v>
      </c>
      <c r="F150" s="28">
        <v>8.8109999999999994E-2</v>
      </c>
      <c r="G150" s="28">
        <v>2.7000000000000001E-3</v>
      </c>
    </row>
    <row r="151" spans="2:7" x14ac:dyDescent="0.3">
      <c r="B151" s="33">
        <v>41642</v>
      </c>
      <c r="C151" s="28">
        <v>8.8040000000000007E-2</v>
      </c>
      <c r="D151" s="28">
        <v>8.8650000000000007E-2</v>
      </c>
      <c r="E151" s="28">
        <v>8.925000000000001E-2</v>
      </c>
      <c r="F151" s="28">
        <v>8.695E-2</v>
      </c>
      <c r="G151" s="28">
        <v>-6.4999999999999997E-3</v>
      </c>
    </row>
    <row r="152" spans="2:7" x14ac:dyDescent="0.3">
      <c r="B152" s="33">
        <v>41641</v>
      </c>
      <c r="C152" s="28">
        <v>8.8620000000000004E-2</v>
      </c>
      <c r="D152" s="28">
        <v>8.7739999999999985E-2</v>
      </c>
      <c r="E152" s="28">
        <v>8.9429999999999996E-2</v>
      </c>
      <c r="F152" s="28">
        <v>8.659E-2</v>
      </c>
      <c r="G152" s="28">
        <v>1.0500000000000001E-2</v>
      </c>
    </row>
    <row r="153" spans="2:7" x14ac:dyDescent="0.3">
      <c r="B153" s="33">
        <v>41640</v>
      </c>
      <c r="C153" s="28">
        <v>8.77E-2</v>
      </c>
      <c r="D153" s="28">
        <v>8.8279999999999997E-2</v>
      </c>
      <c r="E153" s="28">
        <v>8.8779999999999998E-2</v>
      </c>
      <c r="F153" s="28">
        <v>8.4930000000000005E-2</v>
      </c>
      <c r="G153" s="28">
        <v>-5.7000000000000002E-3</v>
      </c>
    </row>
    <row r="154" spans="2:7" x14ac:dyDescent="0.3">
      <c r="B154" s="33">
        <v>41286</v>
      </c>
      <c r="C154" s="28">
        <v>8.8200000000000001E-2</v>
      </c>
      <c r="D154" s="28">
        <v>9.0579999999999994E-2</v>
      </c>
      <c r="E154" s="28">
        <v>9.1899999999999996E-2</v>
      </c>
      <c r="F154" s="28">
        <v>8.7430000000000008E-2</v>
      </c>
      <c r="G154" s="28">
        <v>-2.4799999999999999E-2</v>
      </c>
    </row>
    <row r="155" spans="2:7" x14ac:dyDescent="0.3">
      <c r="B155" s="33">
        <v>41285</v>
      </c>
      <c r="C155" s="28">
        <v>9.0440000000000006E-2</v>
      </c>
      <c r="D155" s="28">
        <v>8.657999999999999E-2</v>
      </c>
      <c r="E155" s="28">
        <v>9.1440000000000007E-2</v>
      </c>
      <c r="F155" s="28">
        <v>8.6379999999999998E-2</v>
      </c>
      <c r="G155" s="28">
        <v>4.8599999999999997E-2</v>
      </c>
    </row>
    <row r="156" spans="2:7" x14ac:dyDescent="0.3">
      <c r="B156" s="33">
        <v>41284</v>
      </c>
      <c r="C156" s="28">
        <v>8.6249999999999993E-2</v>
      </c>
      <c r="D156" s="28">
        <v>8.7129999999999985E-2</v>
      </c>
      <c r="E156" s="28">
        <v>8.7430000000000008E-2</v>
      </c>
      <c r="F156" s="28">
        <v>8.3960000000000007E-2</v>
      </c>
      <c r="G156" s="28">
        <v>-1.61E-2</v>
      </c>
    </row>
    <row r="157" spans="2:7" x14ac:dyDescent="0.3">
      <c r="B157" s="33">
        <v>41283</v>
      </c>
      <c r="C157" s="28">
        <v>8.7660000000000002E-2</v>
      </c>
      <c r="D157" s="28">
        <v>8.5879999999999998E-2</v>
      </c>
      <c r="E157" s="28">
        <v>8.9009999999999992E-2</v>
      </c>
      <c r="F157" s="28">
        <v>8.1630000000000008E-2</v>
      </c>
      <c r="G157" s="28">
        <v>1.9800000000000002E-2</v>
      </c>
    </row>
    <row r="158" spans="2:7" x14ac:dyDescent="0.3">
      <c r="B158" s="33">
        <v>41282</v>
      </c>
      <c r="C158" s="28">
        <v>8.5959999999999995E-2</v>
      </c>
      <c r="D158" s="28">
        <v>8.1720000000000001E-2</v>
      </c>
      <c r="E158" s="28">
        <v>9.4839999999999994E-2</v>
      </c>
      <c r="F158" s="28">
        <v>8.0380000000000007E-2</v>
      </c>
      <c r="G158" s="28">
        <v>5.1900000000000002E-2</v>
      </c>
    </row>
    <row r="159" spans="2:7" x14ac:dyDescent="0.3">
      <c r="B159" s="33">
        <v>41281</v>
      </c>
      <c r="C159" s="28">
        <v>8.1720000000000001E-2</v>
      </c>
      <c r="D159" s="28">
        <v>7.4630000000000002E-2</v>
      </c>
      <c r="E159" s="28">
        <v>8.4809999999999997E-2</v>
      </c>
      <c r="F159" s="28">
        <v>7.4090000000000003E-2</v>
      </c>
      <c r="G159" s="28">
        <v>9.8500000000000004E-2</v>
      </c>
    </row>
    <row r="160" spans="2:7" x14ac:dyDescent="0.3">
      <c r="B160" s="33">
        <v>41280</v>
      </c>
      <c r="C160" s="28">
        <v>7.4389999999999998E-2</v>
      </c>
      <c r="D160" s="28">
        <v>7.424E-2</v>
      </c>
      <c r="E160" s="28">
        <v>7.5920000000000001E-2</v>
      </c>
      <c r="F160" s="28">
        <v>7.1919999999999998E-2</v>
      </c>
      <c r="G160" s="28">
        <v>-5.0000000000000001E-4</v>
      </c>
    </row>
    <row r="161" spans="2:7" x14ac:dyDescent="0.3">
      <c r="B161" s="33">
        <v>41279</v>
      </c>
      <c r="C161" s="28">
        <v>7.4429999999999996E-2</v>
      </c>
      <c r="D161" s="28">
        <v>7.7130000000000004E-2</v>
      </c>
      <c r="E161" s="28">
        <v>7.8009999999999996E-2</v>
      </c>
      <c r="F161" s="28">
        <v>7.3150000000000007E-2</v>
      </c>
      <c r="G161" s="28">
        <v>-3.73E-2</v>
      </c>
    </row>
    <row r="162" spans="2:7" x14ac:dyDescent="0.3">
      <c r="B162" s="33">
        <v>41278</v>
      </c>
      <c r="C162" s="28">
        <v>7.7310000000000004E-2</v>
      </c>
      <c r="D162" s="28">
        <v>7.9600000000000004E-2</v>
      </c>
      <c r="E162" s="28">
        <v>8.0070000000000002E-2</v>
      </c>
      <c r="F162" s="28">
        <v>7.7109999999999998E-2</v>
      </c>
      <c r="G162" s="28">
        <v>-2.7699999999999999E-2</v>
      </c>
    </row>
    <row r="163" spans="2:7" x14ac:dyDescent="0.3">
      <c r="B163" s="33">
        <v>41277</v>
      </c>
      <c r="C163" s="28">
        <v>7.9509999999999997E-2</v>
      </c>
      <c r="D163" s="28">
        <v>7.8550000000000009E-2</v>
      </c>
      <c r="E163" s="28">
        <v>7.9909999999999995E-2</v>
      </c>
      <c r="F163" s="28">
        <v>7.8320000000000001E-2</v>
      </c>
      <c r="G163" s="28">
        <v>0.01</v>
      </c>
    </row>
    <row r="164" spans="2:7" x14ac:dyDescent="0.3">
      <c r="B164" s="33">
        <v>41276</v>
      </c>
      <c r="C164" s="28">
        <v>7.8719999999999998E-2</v>
      </c>
      <c r="D164" s="28">
        <v>7.9250000000000001E-2</v>
      </c>
      <c r="E164" s="28">
        <v>7.9390000000000002E-2</v>
      </c>
      <c r="F164" s="28">
        <v>7.782E-2</v>
      </c>
      <c r="G164" s="28">
        <v>-5.1000000000000004E-3</v>
      </c>
    </row>
    <row r="165" spans="2:7" x14ac:dyDescent="0.3">
      <c r="B165" s="33">
        <v>41275</v>
      </c>
      <c r="C165" s="28">
        <v>7.9119999999999996E-2</v>
      </c>
      <c r="D165" s="28">
        <v>7.9839999999999994E-2</v>
      </c>
      <c r="E165" s="28">
        <v>8.0100000000000005E-2</v>
      </c>
      <c r="F165" s="28">
        <v>7.7910000000000007E-2</v>
      </c>
      <c r="G165" s="28">
        <v>-1.7000000000000001E-2</v>
      </c>
    </row>
    <row r="166" spans="2:7" x14ac:dyDescent="0.3">
      <c r="B166" s="33">
        <v>40920</v>
      </c>
      <c r="C166" s="28">
        <v>8.0489999999999992E-2</v>
      </c>
      <c r="D166" s="28">
        <v>8.1689999999999999E-2</v>
      </c>
      <c r="E166" s="28">
        <v>8.1869999999999998E-2</v>
      </c>
      <c r="F166" s="28">
        <v>8.0350000000000005E-2</v>
      </c>
      <c r="G166" s="28">
        <v>-1.54E-2</v>
      </c>
    </row>
    <row r="167" spans="2:7" x14ac:dyDescent="0.3">
      <c r="B167" s="33">
        <v>40919</v>
      </c>
      <c r="C167" s="28">
        <v>8.1750000000000003E-2</v>
      </c>
      <c r="D167" s="28">
        <v>8.2210000000000005E-2</v>
      </c>
      <c r="E167" s="28">
        <v>8.2369999999999999E-2</v>
      </c>
      <c r="F167" s="28">
        <v>8.1630000000000008E-2</v>
      </c>
      <c r="G167" s="28">
        <v>-4.8999999999999998E-3</v>
      </c>
    </row>
    <row r="168" spans="2:7" x14ac:dyDescent="0.3">
      <c r="B168" s="33">
        <v>40918</v>
      </c>
      <c r="C168" s="28">
        <v>8.2150000000000001E-2</v>
      </c>
      <c r="D168" s="28">
        <v>8.1470000000000001E-2</v>
      </c>
      <c r="E168" s="28">
        <v>8.2210000000000005E-2</v>
      </c>
      <c r="F168" s="28">
        <v>8.1140000000000004E-2</v>
      </c>
      <c r="G168" s="28">
        <v>8.0999999999999996E-3</v>
      </c>
    </row>
    <row r="169" spans="2:7" x14ac:dyDescent="0.3">
      <c r="B169" s="33">
        <v>40917</v>
      </c>
      <c r="C169" s="28">
        <v>8.1489999999999993E-2</v>
      </c>
      <c r="D169" s="28">
        <v>8.2360000000000003E-2</v>
      </c>
      <c r="E169" s="28">
        <v>8.2360000000000003E-2</v>
      </c>
      <c r="F169" s="28">
        <v>8.1180000000000002E-2</v>
      </c>
      <c r="G169" s="28">
        <v>-1.12E-2</v>
      </c>
    </row>
    <row r="170" spans="2:7" x14ac:dyDescent="0.3">
      <c r="B170" s="33">
        <v>40916</v>
      </c>
      <c r="C170" s="28">
        <v>8.2409999999999997E-2</v>
      </c>
      <c r="D170" s="28">
        <v>8.2430000000000003E-2</v>
      </c>
      <c r="E170" s="28">
        <v>8.2799999999999999E-2</v>
      </c>
      <c r="F170" s="28">
        <v>8.1079999999999999E-2</v>
      </c>
      <c r="G170" s="28">
        <v>-5.0000000000000001E-4</v>
      </c>
    </row>
    <row r="171" spans="2:7" x14ac:dyDescent="0.3">
      <c r="B171" s="33">
        <v>40915</v>
      </c>
      <c r="C171" s="28">
        <v>8.2449999999999996E-2</v>
      </c>
      <c r="D171" s="28">
        <v>8.4339999999999998E-2</v>
      </c>
      <c r="E171" s="28">
        <v>8.4339999999999998E-2</v>
      </c>
      <c r="F171" s="28">
        <v>8.0180000000000001E-2</v>
      </c>
      <c r="G171" s="28">
        <v>-1.61E-2</v>
      </c>
    </row>
    <row r="172" spans="2:7" x14ac:dyDescent="0.3">
      <c r="B172" s="33">
        <v>40914</v>
      </c>
      <c r="C172" s="28">
        <v>8.3800000000000013E-2</v>
      </c>
      <c r="D172" s="28">
        <v>8.3589999999999998E-2</v>
      </c>
      <c r="E172" s="28">
        <v>8.4589999999999999E-2</v>
      </c>
      <c r="F172" s="28">
        <v>8.2449999999999996E-2</v>
      </c>
      <c r="G172" s="28">
        <v>4.0000000000000002E-4</v>
      </c>
    </row>
    <row r="173" spans="2:7" x14ac:dyDescent="0.3">
      <c r="B173" s="33">
        <v>40913</v>
      </c>
      <c r="C173" s="28">
        <v>8.3770000000000011E-2</v>
      </c>
      <c r="D173" s="28">
        <v>8.7029999999999996E-2</v>
      </c>
      <c r="E173" s="28">
        <v>8.7029999999999996E-2</v>
      </c>
      <c r="F173" s="28">
        <v>8.3640000000000006E-2</v>
      </c>
      <c r="G173" s="28">
        <v>-3.39E-2</v>
      </c>
    </row>
    <row r="174" spans="2:7" x14ac:dyDescent="0.3">
      <c r="B174" s="33">
        <v>40912</v>
      </c>
      <c r="C174" s="28">
        <v>8.6709999999999995E-2</v>
      </c>
      <c r="D174" s="28">
        <v>8.5139999999999993E-2</v>
      </c>
      <c r="E174" s="28">
        <v>8.7569999999999995E-2</v>
      </c>
      <c r="F174" s="28">
        <v>8.3119999999999999E-2</v>
      </c>
      <c r="G174" s="28">
        <v>1.15E-2</v>
      </c>
    </row>
    <row r="175" spans="2:7" x14ac:dyDescent="0.3">
      <c r="B175" s="33">
        <v>40911</v>
      </c>
      <c r="C175" s="28">
        <v>8.5719999999999991E-2</v>
      </c>
      <c r="D175" s="28">
        <v>8.2089999999999996E-2</v>
      </c>
      <c r="E175" s="28">
        <v>8.6300000000000002E-2</v>
      </c>
      <c r="F175" s="28">
        <v>8.1989999999999993E-2</v>
      </c>
      <c r="G175" s="28">
        <v>4.5499999999999999E-2</v>
      </c>
    </row>
    <row r="176" spans="2:7" x14ac:dyDescent="0.3">
      <c r="B176" s="33">
        <v>40910</v>
      </c>
      <c r="C176" s="28">
        <v>8.1989999999999993E-2</v>
      </c>
      <c r="D176" s="28">
        <v>8.1329999999999986E-2</v>
      </c>
      <c r="E176" s="28">
        <v>8.2729999999999998E-2</v>
      </c>
      <c r="F176" s="28">
        <v>8.0990000000000006E-2</v>
      </c>
      <c r="G176" s="28">
        <v>-8.2000000000000007E-3</v>
      </c>
    </row>
    <row r="177" spans="2:7" x14ac:dyDescent="0.3">
      <c r="B177" s="33">
        <v>40909</v>
      </c>
      <c r="C177" s="28">
        <v>8.2669999999999993E-2</v>
      </c>
      <c r="D177" s="28">
        <v>8.632999999999999E-2</v>
      </c>
      <c r="E177" s="28">
        <v>8.632999999999999E-2</v>
      </c>
      <c r="F177" s="28">
        <v>8.1089999999999995E-2</v>
      </c>
      <c r="G177" s="28">
        <v>-3.4200000000000001E-2</v>
      </c>
    </row>
    <row r="178" spans="2:7" x14ac:dyDescent="0.3">
      <c r="B178" s="33">
        <v>40555</v>
      </c>
      <c r="C178" s="28">
        <v>8.5600000000000009E-2</v>
      </c>
      <c r="D178" s="28">
        <v>8.7400000000000005E-2</v>
      </c>
      <c r="E178" s="28">
        <v>8.7400000000000005E-2</v>
      </c>
      <c r="F178" s="28">
        <v>8.276E-2</v>
      </c>
      <c r="G178" s="28">
        <v>-2.0400000000000001E-2</v>
      </c>
    </row>
    <row r="179" spans="2:7" x14ac:dyDescent="0.3">
      <c r="B179" s="33">
        <v>40554</v>
      </c>
      <c r="C179" s="28">
        <v>8.7379999999999999E-2</v>
      </c>
      <c r="D179" s="28">
        <v>8.9560000000000001E-2</v>
      </c>
      <c r="E179" s="28">
        <v>9.1319999999999998E-2</v>
      </c>
      <c r="F179" s="28">
        <v>8.7300000000000003E-2</v>
      </c>
      <c r="G179" s="28">
        <v>-1.5900000000000001E-2</v>
      </c>
    </row>
    <row r="180" spans="2:7" x14ac:dyDescent="0.3">
      <c r="B180" s="33">
        <v>40553</v>
      </c>
      <c r="C180" s="28">
        <v>8.8789999999999994E-2</v>
      </c>
      <c r="D180" s="28">
        <v>8.5059999999999997E-2</v>
      </c>
      <c r="E180" s="28">
        <v>8.8789999999999994E-2</v>
      </c>
      <c r="F180" s="28">
        <v>8.5059999999999997E-2</v>
      </c>
      <c r="G180" s="28">
        <v>5.1799999999999999E-2</v>
      </c>
    </row>
    <row r="181" spans="2:7" x14ac:dyDescent="0.3">
      <c r="B181" s="33">
        <v>40552</v>
      </c>
      <c r="C181" s="28">
        <v>8.4419999999999995E-2</v>
      </c>
      <c r="D181" s="28">
        <v>8.3379999999999996E-2</v>
      </c>
      <c r="E181" s="28">
        <v>8.4419999999999995E-2</v>
      </c>
      <c r="F181" s="28">
        <v>8.2810000000000009E-2</v>
      </c>
      <c r="G181" s="28">
        <v>1.4800000000000001E-2</v>
      </c>
    </row>
    <row r="182" spans="2:7" x14ac:dyDescent="0.3">
      <c r="B182" s="33">
        <v>40551</v>
      </c>
      <c r="C182" s="28">
        <v>8.3190000000000014E-2</v>
      </c>
      <c r="D182" s="28">
        <v>8.4280000000000008E-2</v>
      </c>
      <c r="E182" s="28">
        <v>8.4610000000000005E-2</v>
      </c>
      <c r="F182" s="28">
        <v>8.1920000000000007E-2</v>
      </c>
      <c r="G182" s="28">
        <v>-1.6E-2</v>
      </c>
    </row>
    <row r="183" spans="2:7" x14ac:dyDescent="0.3">
      <c r="B183" s="33">
        <v>40550</v>
      </c>
      <c r="C183" s="28">
        <v>8.4540000000000004E-2</v>
      </c>
      <c r="D183" s="28">
        <v>8.3569999999999992E-2</v>
      </c>
      <c r="E183" s="28">
        <v>8.471999999999999E-2</v>
      </c>
      <c r="F183" s="28">
        <v>8.2379999999999995E-2</v>
      </c>
      <c r="G183" s="28">
        <v>1.54E-2</v>
      </c>
    </row>
    <row r="184" spans="2:7" x14ac:dyDescent="0.3">
      <c r="B184" s="33">
        <v>40549</v>
      </c>
      <c r="C184" s="28">
        <v>8.3260000000000001E-2</v>
      </c>
      <c r="D184" s="28">
        <v>8.3569999999999992E-2</v>
      </c>
      <c r="E184" s="28">
        <v>8.3970000000000003E-2</v>
      </c>
      <c r="F184" s="28">
        <v>8.1959999999999991E-2</v>
      </c>
      <c r="G184" s="28">
        <v>-1.01E-2</v>
      </c>
    </row>
    <row r="185" spans="2:7" x14ac:dyDescent="0.3">
      <c r="B185" s="33">
        <v>40548</v>
      </c>
      <c r="C185" s="28">
        <v>8.410999999999999E-2</v>
      </c>
      <c r="D185" s="28">
        <v>8.1479999999999997E-2</v>
      </c>
      <c r="E185" s="28">
        <v>8.4610000000000005E-2</v>
      </c>
      <c r="F185" s="28">
        <v>8.138999999999999E-2</v>
      </c>
      <c r="G185" s="28">
        <v>3.39E-2</v>
      </c>
    </row>
    <row r="186" spans="2:7" x14ac:dyDescent="0.3">
      <c r="B186" s="33">
        <v>40547</v>
      </c>
      <c r="C186" s="28">
        <v>8.1349999999999992E-2</v>
      </c>
      <c r="D186" s="28">
        <v>7.9890000000000003E-2</v>
      </c>
      <c r="E186" s="28">
        <v>8.1349999999999992E-2</v>
      </c>
      <c r="F186" s="28">
        <v>7.9640000000000002E-2</v>
      </c>
      <c r="G186" s="28">
        <v>1.8800000000000001E-2</v>
      </c>
    </row>
    <row r="187" spans="2:7" x14ac:dyDescent="0.3">
      <c r="B187" s="33">
        <v>40546</v>
      </c>
      <c r="C187" s="28">
        <v>7.9850000000000004E-2</v>
      </c>
      <c r="D187" s="28">
        <v>8.0159999999999995E-2</v>
      </c>
      <c r="E187" s="28">
        <v>8.0180000000000001E-2</v>
      </c>
      <c r="F187" s="28">
        <v>7.9310000000000005E-2</v>
      </c>
      <c r="G187" s="28">
        <v>-8.9999999999999998E-4</v>
      </c>
    </row>
    <row r="188" spans="2:7" x14ac:dyDescent="0.3">
      <c r="B188" s="33">
        <v>40545</v>
      </c>
      <c r="C188" s="28">
        <v>7.9920000000000005E-2</v>
      </c>
      <c r="D188" s="28">
        <v>8.1449999999999995E-2</v>
      </c>
      <c r="E188" s="28">
        <v>8.2119999999999999E-2</v>
      </c>
      <c r="F188" s="28">
        <v>7.9920000000000005E-2</v>
      </c>
      <c r="G188" s="28">
        <v>-1.9099999999999999E-2</v>
      </c>
    </row>
    <row r="189" spans="2:7" x14ac:dyDescent="0.3">
      <c r="B189" s="33">
        <v>40544</v>
      </c>
      <c r="C189" s="28">
        <v>8.1479999999999997E-2</v>
      </c>
      <c r="D189" s="28">
        <v>7.9500000000000001E-2</v>
      </c>
      <c r="E189" s="28">
        <v>8.2339999999999997E-2</v>
      </c>
      <c r="F189" s="28">
        <v>7.9500000000000001E-2</v>
      </c>
      <c r="G189" s="28">
        <v>2.9700000000000001E-2</v>
      </c>
    </row>
    <row r="190" spans="2:7" x14ac:dyDescent="0.3">
      <c r="B190" s="33">
        <v>40190</v>
      </c>
      <c r="C190" s="28">
        <v>7.9130000000000006E-2</v>
      </c>
      <c r="D190" s="28">
        <v>8.0829999999999999E-2</v>
      </c>
      <c r="E190" s="28">
        <v>8.2189999999999999E-2</v>
      </c>
      <c r="F190" s="28">
        <v>7.893E-2</v>
      </c>
      <c r="G190" s="28">
        <v>-1.9E-2</v>
      </c>
    </row>
    <row r="191" spans="2:7" x14ac:dyDescent="0.3">
      <c r="B191" s="33">
        <v>40189</v>
      </c>
      <c r="C191" s="28">
        <v>8.0660000000000009E-2</v>
      </c>
      <c r="D191" s="28">
        <v>8.115E-2</v>
      </c>
      <c r="E191" s="28">
        <v>8.115E-2</v>
      </c>
      <c r="F191" s="28">
        <v>7.9369999999999996E-2</v>
      </c>
      <c r="G191" s="28">
        <v>-6.7999999999999996E-3</v>
      </c>
    </row>
    <row r="192" spans="2:7" x14ac:dyDescent="0.3">
      <c r="B192" s="33">
        <v>40188</v>
      </c>
      <c r="C192" s="28">
        <v>8.1210000000000004E-2</v>
      </c>
      <c r="D192" s="28">
        <v>7.8960000000000002E-2</v>
      </c>
      <c r="E192" s="28">
        <v>8.1769999999999995E-2</v>
      </c>
      <c r="F192" s="28">
        <v>7.8960000000000002E-2</v>
      </c>
      <c r="G192" s="28">
        <v>3.4299999999999997E-2</v>
      </c>
    </row>
    <row r="193" spans="2:7" x14ac:dyDescent="0.3">
      <c r="B193" s="33">
        <v>40187</v>
      </c>
      <c r="C193" s="28">
        <v>7.8520000000000006E-2</v>
      </c>
      <c r="D193" s="28">
        <v>7.9420000000000004E-2</v>
      </c>
      <c r="E193" s="28">
        <v>8.0090000000000008E-2</v>
      </c>
      <c r="F193" s="28">
        <v>7.8329999999999997E-2</v>
      </c>
      <c r="G193" s="28">
        <v>-1.06E-2</v>
      </c>
    </row>
    <row r="194" spans="2:7" x14ac:dyDescent="0.3">
      <c r="B194" s="33">
        <v>40186</v>
      </c>
      <c r="C194" s="28">
        <v>7.936E-2</v>
      </c>
      <c r="D194" s="28">
        <v>7.8570000000000001E-2</v>
      </c>
      <c r="E194" s="28">
        <v>8.0670000000000006E-2</v>
      </c>
      <c r="F194" s="28">
        <v>7.7839999999999993E-2</v>
      </c>
      <c r="G194" s="28">
        <v>1.7000000000000001E-2</v>
      </c>
    </row>
    <row r="195" spans="2:7" x14ac:dyDescent="0.3">
      <c r="B195" s="33">
        <v>40185</v>
      </c>
      <c r="C195" s="28">
        <v>7.8030000000000002E-2</v>
      </c>
      <c r="D195" s="28">
        <v>7.5209999999999999E-2</v>
      </c>
      <c r="E195" s="28">
        <v>7.8030000000000002E-2</v>
      </c>
      <c r="F195" s="28">
        <v>7.5209999999999999E-2</v>
      </c>
      <c r="G195" s="28">
        <v>3.2000000000000001E-2</v>
      </c>
    </row>
    <row r="196" spans="2:7" x14ac:dyDescent="0.3">
      <c r="B196" s="33">
        <v>40184</v>
      </c>
      <c r="C196" s="28">
        <v>7.5609999999999997E-2</v>
      </c>
      <c r="D196" s="28">
        <v>7.5639999999999999E-2</v>
      </c>
      <c r="E196" s="28">
        <v>7.6859999999999998E-2</v>
      </c>
      <c r="F196" s="28">
        <v>7.4630000000000002E-2</v>
      </c>
      <c r="G196" s="28">
        <v>-4.0000000000000002E-4</v>
      </c>
    </row>
    <row r="197" spans="2:7" x14ac:dyDescent="0.3">
      <c r="B197" s="33">
        <v>40183</v>
      </c>
      <c r="C197" s="28">
        <v>7.5639999999999999E-2</v>
      </c>
      <c r="D197" s="28">
        <v>8.0700000000000008E-2</v>
      </c>
      <c r="E197" s="28">
        <v>8.0700000000000008E-2</v>
      </c>
      <c r="F197" s="28">
        <v>7.3680000000000009E-2</v>
      </c>
      <c r="G197" s="28">
        <v>-6.1699999999999998E-2</v>
      </c>
    </row>
    <row r="198" spans="2:7" x14ac:dyDescent="0.3">
      <c r="B198" s="33">
        <v>40182</v>
      </c>
      <c r="C198" s="28">
        <v>8.0610000000000001E-2</v>
      </c>
      <c r="D198" s="28">
        <v>7.843E-2</v>
      </c>
      <c r="E198" s="28">
        <v>8.1240000000000007E-2</v>
      </c>
      <c r="F198" s="28">
        <v>7.7719999999999997E-2</v>
      </c>
      <c r="G198" s="28">
        <v>2.69E-2</v>
      </c>
    </row>
    <row r="199" spans="2:7" x14ac:dyDescent="0.3">
      <c r="B199" s="33">
        <v>40181</v>
      </c>
      <c r="C199" s="28">
        <v>7.85E-2</v>
      </c>
      <c r="D199" s="28">
        <v>7.9199999999999993E-2</v>
      </c>
      <c r="E199" s="28">
        <v>8.0149999999999999E-2</v>
      </c>
      <c r="F199" s="28">
        <v>7.7380000000000004E-2</v>
      </c>
      <c r="G199" s="28">
        <v>-1.8E-3</v>
      </c>
    </row>
    <row r="200" spans="2:7" x14ac:dyDescent="0.3">
      <c r="B200" s="33">
        <v>40180</v>
      </c>
      <c r="C200" s="28">
        <v>7.8640000000000002E-2</v>
      </c>
      <c r="D200" s="28">
        <v>7.5839999999999991E-2</v>
      </c>
      <c r="E200" s="28">
        <v>7.9229999999999995E-2</v>
      </c>
      <c r="F200" s="28">
        <v>7.5839999999999991E-2</v>
      </c>
      <c r="G200" s="28">
        <v>3.5999999999999997E-2</v>
      </c>
    </row>
    <row r="201" spans="2:7" x14ac:dyDescent="0.3">
      <c r="B201" s="33">
        <v>40179</v>
      </c>
      <c r="C201" s="28">
        <v>7.5910000000000005E-2</v>
      </c>
      <c r="D201" s="28">
        <v>7.7060000000000003E-2</v>
      </c>
      <c r="E201" s="28">
        <v>7.8060000000000004E-2</v>
      </c>
      <c r="F201" s="28">
        <v>7.5380000000000003E-2</v>
      </c>
      <c r="G201" s="28">
        <v>-1.15E-2</v>
      </c>
    </row>
    <row r="202" spans="2:7" x14ac:dyDescent="0.3">
      <c r="B202" s="33">
        <v>39825</v>
      </c>
      <c r="C202" s="28">
        <v>7.6789999999999997E-2</v>
      </c>
      <c r="D202" s="28">
        <v>7.2599999999999998E-2</v>
      </c>
      <c r="E202" s="28">
        <v>7.739E-2</v>
      </c>
      <c r="F202" s="28">
        <v>7.2599999999999998E-2</v>
      </c>
      <c r="G202" s="28">
        <v>5.8200000000000002E-2</v>
      </c>
    </row>
    <row r="203" spans="2:7" x14ac:dyDescent="0.3">
      <c r="B203" s="33">
        <v>39824</v>
      </c>
      <c r="C203" s="28">
        <v>7.2569999999999996E-2</v>
      </c>
      <c r="D203" s="28">
        <v>7.288E-2</v>
      </c>
      <c r="E203" s="28">
        <v>7.3590000000000003E-2</v>
      </c>
      <c r="F203" s="28">
        <v>7.1680000000000008E-2</v>
      </c>
      <c r="G203" s="28">
        <v>-6.7000000000000002E-3</v>
      </c>
    </row>
    <row r="204" spans="2:7" x14ac:dyDescent="0.3">
      <c r="B204" s="33">
        <v>39823</v>
      </c>
      <c r="C204" s="28">
        <v>7.306E-2</v>
      </c>
      <c r="D204" s="28">
        <v>7.1940000000000004E-2</v>
      </c>
      <c r="E204" s="28">
        <v>7.4619999999999992E-2</v>
      </c>
      <c r="F204" s="28">
        <v>7.1639999999999995E-2</v>
      </c>
      <c r="G204" s="28">
        <v>1.26E-2</v>
      </c>
    </row>
    <row r="205" spans="2:7" x14ac:dyDescent="0.3">
      <c r="B205" s="33">
        <v>39822</v>
      </c>
      <c r="C205" s="28">
        <v>7.2149999999999992E-2</v>
      </c>
      <c r="D205" s="28">
        <v>7.2149999999999992E-2</v>
      </c>
      <c r="E205" s="28">
        <v>7.2149999999999992E-2</v>
      </c>
      <c r="F205" s="28">
        <v>7.2149999999999992E-2</v>
      </c>
      <c r="G205" s="28">
        <v>-2.9499999999999998E-2</v>
      </c>
    </row>
    <row r="206" spans="2:7" x14ac:dyDescent="0.3">
      <c r="B206" s="33">
        <v>39821</v>
      </c>
      <c r="C206" s="28">
        <v>7.4340000000000003E-2</v>
      </c>
      <c r="D206" s="28">
        <v>7.4340000000000003E-2</v>
      </c>
      <c r="E206" s="28">
        <v>7.4340000000000003E-2</v>
      </c>
      <c r="F206" s="28">
        <v>7.4340000000000003E-2</v>
      </c>
      <c r="G206" s="28">
        <v>6.2300000000000001E-2</v>
      </c>
    </row>
    <row r="207" spans="2:7" x14ac:dyDescent="0.3">
      <c r="B207" s="33">
        <v>39820</v>
      </c>
      <c r="C207" s="28">
        <v>6.9980000000000001E-2</v>
      </c>
      <c r="D207" s="28">
        <v>6.9980000000000001E-2</v>
      </c>
      <c r="E207" s="28">
        <v>6.9980000000000001E-2</v>
      </c>
      <c r="F207" s="28">
        <v>6.9980000000000001E-2</v>
      </c>
      <c r="G207" s="28">
        <v>-2.0999999999999999E-3</v>
      </c>
    </row>
    <row r="208" spans="2:7" x14ac:dyDescent="0.3">
      <c r="B208" s="33">
        <v>39819</v>
      </c>
      <c r="C208" s="28">
        <v>7.0129999999999998E-2</v>
      </c>
      <c r="D208" s="28">
        <v>7.0129999999999998E-2</v>
      </c>
      <c r="E208" s="28">
        <v>7.0129999999999998E-2</v>
      </c>
      <c r="F208" s="28">
        <v>7.0129999999999998E-2</v>
      </c>
      <c r="G208" s="28">
        <v>4.5199999999999997E-2</v>
      </c>
    </row>
    <row r="209" spans="2:7" x14ac:dyDescent="0.3">
      <c r="B209" s="33">
        <v>39818</v>
      </c>
      <c r="C209" s="28">
        <v>6.7099999999999993E-2</v>
      </c>
      <c r="D209" s="28">
        <v>6.7099999999999993E-2</v>
      </c>
      <c r="E209" s="28">
        <v>6.7099999999999993E-2</v>
      </c>
      <c r="F209" s="28">
        <v>6.7099999999999993E-2</v>
      </c>
      <c r="G209" s="28">
        <v>7.4999999999999997E-2</v>
      </c>
    </row>
    <row r="210" spans="2:7" x14ac:dyDescent="0.3">
      <c r="B210" s="33">
        <v>39817</v>
      </c>
      <c r="C210" s="28">
        <v>6.2420000000000003E-2</v>
      </c>
      <c r="D210" s="28">
        <v>6.2420000000000003E-2</v>
      </c>
      <c r="E210" s="28">
        <v>6.2420000000000003E-2</v>
      </c>
      <c r="F210" s="28">
        <v>6.2420000000000003E-2</v>
      </c>
      <c r="G210" s="28">
        <v>-0.1101</v>
      </c>
    </row>
    <row r="211" spans="2:7" x14ac:dyDescent="0.3">
      <c r="B211" s="33">
        <v>39816</v>
      </c>
      <c r="C211" s="28">
        <v>7.0140000000000008E-2</v>
      </c>
      <c r="D211" s="28">
        <v>7.0140000000000008E-2</v>
      </c>
      <c r="E211" s="28">
        <v>7.0140000000000008E-2</v>
      </c>
      <c r="F211" s="28">
        <v>7.0140000000000008E-2</v>
      </c>
      <c r="G211" s="28">
        <v>0.1084</v>
      </c>
    </row>
    <row r="212" spans="2:7" x14ac:dyDescent="0.3">
      <c r="B212" s="33">
        <v>39815</v>
      </c>
      <c r="C212" s="28">
        <v>6.3280000000000003E-2</v>
      </c>
      <c r="D212" s="28">
        <v>6.3280000000000003E-2</v>
      </c>
      <c r="E212" s="28">
        <v>6.3280000000000003E-2</v>
      </c>
      <c r="F212" s="28">
        <v>6.3280000000000003E-2</v>
      </c>
      <c r="G212" s="28">
        <v>2.2800000000000001E-2</v>
      </c>
    </row>
    <row r="213" spans="2:7" x14ac:dyDescent="0.3">
      <c r="B213" s="33">
        <v>39814</v>
      </c>
      <c r="C213" s="28">
        <v>6.1870000000000001E-2</v>
      </c>
      <c r="D213" s="28">
        <v>6.1870000000000001E-2</v>
      </c>
      <c r="E213" s="28">
        <v>6.1870000000000001E-2</v>
      </c>
      <c r="F213" s="28">
        <v>6.1870000000000001E-2</v>
      </c>
      <c r="G213" s="28">
        <v>0.1762</v>
      </c>
    </row>
    <row r="214" spans="2:7" x14ac:dyDescent="0.3">
      <c r="B214" s="33">
        <v>39459</v>
      </c>
      <c r="C214" s="28">
        <v>5.2600000000000001E-2</v>
      </c>
      <c r="D214" s="28">
        <v>5.2600000000000001E-2</v>
      </c>
      <c r="E214" s="28">
        <v>5.2600000000000001E-2</v>
      </c>
      <c r="F214" s="28">
        <v>5.2600000000000001E-2</v>
      </c>
      <c r="G214" s="28">
        <v>-0.2571</v>
      </c>
    </row>
    <row r="215" spans="2:7" x14ac:dyDescent="0.3">
      <c r="B215" s="33">
        <v>39458</v>
      </c>
      <c r="C215" s="28">
        <v>7.0800000000000002E-2</v>
      </c>
      <c r="D215" s="28">
        <v>7.0800000000000002E-2</v>
      </c>
      <c r="E215" s="28">
        <v>7.0800000000000002E-2</v>
      </c>
      <c r="F215" s="28">
        <v>7.0800000000000002E-2</v>
      </c>
      <c r="G215" s="28">
        <v>-5.3199999999999997E-2</v>
      </c>
    </row>
    <row r="216" spans="2:7" x14ac:dyDescent="0.3">
      <c r="B216" s="33">
        <v>39457</v>
      </c>
      <c r="C216" s="28">
        <v>7.4779999999999999E-2</v>
      </c>
      <c r="D216" s="28">
        <v>7.4779999999999999E-2</v>
      </c>
      <c r="E216" s="28">
        <v>7.4779999999999999E-2</v>
      </c>
      <c r="F216" s="28">
        <v>7.4779999999999999E-2</v>
      </c>
      <c r="G216" s="28">
        <v>-0.13220000000000001</v>
      </c>
    </row>
    <row r="217" spans="2:7" x14ac:dyDescent="0.3">
      <c r="B217" s="33">
        <v>39456</v>
      </c>
      <c r="C217" s="28">
        <v>8.617000000000001E-2</v>
      </c>
      <c r="D217" s="28">
        <v>8.617000000000001E-2</v>
      </c>
      <c r="E217" s="28">
        <v>8.617000000000001E-2</v>
      </c>
      <c r="F217" s="28">
        <v>8.617000000000001E-2</v>
      </c>
      <c r="G217" s="28">
        <v>-9.4999999999999998E-3</v>
      </c>
    </row>
    <row r="218" spans="2:7" x14ac:dyDescent="0.3">
      <c r="B218" s="33">
        <v>39455</v>
      </c>
      <c r="C218" s="28">
        <v>8.6999999999999994E-2</v>
      </c>
      <c r="D218" s="28">
        <v>8.6999999999999994E-2</v>
      </c>
      <c r="E218" s="28">
        <v>8.6999999999999994E-2</v>
      </c>
      <c r="F218" s="28">
        <v>8.6999999999999994E-2</v>
      </c>
      <c r="G218" s="28">
        <v>-6.6100000000000006E-2</v>
      </c>
    </row>
    <row r="219" spans="2:7" x14ac:dyDescent="0.3">
      <c r="B219" s="33">
        <v>39454</v>
      </c>
      <c r="C219" s="28">
        <v>9.3160000000000007E-2</v>
      </c>
      <c r="D219" s="28">
        <v>9.3160000000000007E-2</v>
      </c>
      <c r="E219" s="28">
        <v>9.3160000000000007E-2</v>
      </c>
      <c r="F219" s="28">
        <v>9.3160000000000007E-2</v>
      </c>
      <c r="G219" s="28">
        <v>6.9199999999999998E-2</v>
      </c>
    </row>
    <row r="220" spans="2:7" x14ac:dyDescent="0.3">
      <c r="B220" s="33">
        <v>39453</v>
      </c>
      <c r="C220" s="28">
        <v>8.7129999999999985E-2</v>
      </c>
      <c r="D220" s="28">
        <v>8.7129999999999985E-2</v>
      </c>
      <c r="E220" s="28">
        <v>8.7129999999999985E-2</v>
      </c>
      <c r="F220" s="28">
        <v>8.7129999999999985E-2</v>
      </c>
      <c r="G220" s="28">
        <v>7.5499999999999998E-2</v>
      </c>
    </row>
    <row r="221" spans="2:7" x14ac:dyDescent="0.3">
      <c r="B221" s="33">
        <v>39452</v>
      </c>
      <c r="C221" s="28">
        <v>8.1010000000000013E-2</v>
      </c>
      <c r="D221" s="28">
        <v>8.1010000000000013E-2</v>
      </c>
      <c r="E221" s="28">
        <v>8.1010000000000013E-2</v>
      </c>
      <c r="F221" s="28">
        <v>8.1010000000000013E-2</v>
      </c>
      <c r="G221" s="28">
        <v>1.8200000000000001E-2</v>
      </c>
    </row>
    <row r="222" spans="2:7" x14ac:dyDescent="0.3">
      <c r="B222" s="33">
        <v>39451</v>
      </c>
      <c r="C222" s="28">
        <v>7.9560000000000006E-2</v>
      </c>
      <c r="D222" s="28">
        <v>7.9560000000000006E-2</v>
      </c>
      <c r="E222" s="28">
        <v>7.9560000000000006E-2</v>
      </c>
      <c r="F222" s="28">
        <v>7.9560000000000006E-2</v>
      </c>
      <c r="G222" s="28">
        <v>2.3E-3</v>
      </c>
    </row>
    <row r="223" spans="2:7" x14ac:dyDescent="0.3">
      <c r="B223" s="33">
        <v>39450</v>
      </c>
      <c r="C223" s="28">
        <v>7.9379999999999992E-2</v>
      </c>
      <c r="D223" s="28">
        <v>7.9379999999999992E-2</v>
      </c>
      <c r="E223" s="28">
        <v>7.9379999999999992E-2</v>
      </c>
      <c r="F223" s="28">
        <v>7.9379999999999992E-2</v>
      </c>
      <c r="G223" s="28">
        <v>4.8899999999999999E-2</v>
      </c>
    </row>
    <row r="224" spans="2:7" x14ac:dyDescent="0.3">
      <c r="B224" s="33">
        <v>39449</v>
      </c>
      <c r="C224" s="28">
        <v>7.5679999999999997E-2</v>
      </c>
      <c r="D224" s="28">
        <v>7.5679999999999997E-2</v>
      </c>
      <c r="E224" s="28">
        <v>7.5679999999999997E-2</v>
      </c>
      <c r="F224" s="28">
        <v>7.5679999999999997E-2</v>
      </c>
      <c r="G224" s="28">
        <v>5.1999999999999998E-3</v>
      </c>
    </row>
    <row r="225" spans="2:7" x14ac:dyDescent="0.3">
      <c r="B225" s="33">
        <v>39448</v>
      </c>
      <c r="C225" s="28">
        <v>7.5289999999999996E-2</v>
      </c>
      <c r="D225" s="28">
        <v>7.5289999999999996E-2</v>
      </c>
      <c r="E225" s="28">
        <v>7.5289999999999996E-2</v>
      </c>
      <c r="F225" s="28">
        <v>7.5289999999999996E-2</v>
      </c>
      <c r="G225" s="28">
        <v>-3.3599999999999998E-2</v>
      </c>
    </row>
    <row r="226" spans="2:7" x14ac:dyDescent="0.3">
      <c r="B226" s="33">
        <v>39094</v>
      </c>
      <c r="C226" s="28">
        <v>7.7910000000000007E-2</v>
      </c>
      <c r="D226" s="28">
        <v>7.7910000000000007E-2</v>
      </c>
      <c r="E226" s="28">
        <v>7.7910000000000007E-2</v>
      </c>
      <c r="F226" s="28">
        <v>7.7910000000000007E-2</v>
      </c>
      <c r="G226" s="28">
        <v>-1.44E-2</v>
      </c>
    </row>
    <row r="227" spans="2:7" x14ac:dyDescent="0.3">
      <c r="B227" s="33">
        <v>39093</v>
      </c>
      <c r="C227" s="28">
        <v>7.9050000000000009E-2</v>
      </c>
      <c r="D227" s="28">
        <v>7.9050000000000009E-2</v>
      </c>
      <c r="E227" s="28">
        <v>7.9050000000000009E-2</v>
      </c>
      <c r="F227" s="28">
        <v>7.9050000000000009E-2</v>
      </c>
      <c r="G227" s="28">
        <v>8.3999999999999995E-3</v>
      </c>
    </row>
    <row r="228" spans="2:7" x14ac:dyDescent="0.3">
      <c r="B228" s="33">
        <v>39092</v>
      </c>
      <c r="C228" s="28">
        <v>7.8390000000000001E-2</v>
      </c>
      <c r="D228" s="28">
        <v>7.8390000000000001E-2</v>
      </c>
      <c r="E228" s="28">
        <v>7.8390000000000001E-2</v>
      </c>
      <c r="F228" s="28">
        <v>7.8390000000000001E-2</v>
      </c>
      <c r="G228" s="28">
        <v>-1.09E-2</v>
      </c>
    </row>
    <row r="229" spans="2:7" x14ac:dyDescent="0.3">
      <c r="B229" s="33">
        <v>39091</v>
      </c>
      <c r="C229" s="28">
        <v>7.9250000000000001E-2</v>
      </c>
      <c r="D229" s="28">
        <v>7.9250000000000001E-2</v>
      </c>
      <c r="E229" s="28">
        <v>7.9250000000000001E-2</v>
      </c>
      <c r="F229" s="28">
        <v>7.9250000000000001E-2</v>
      </c>
      <c r="G229" s="28">
        <v>-5.9999999999999995E-4</v>
      </c>
    </row>
    <row r="230" spans="2:7" x14ac:dyDescent="0.3">
      <c r="B230" s="33">
        <v>39090</v>
      </c>
      <c r="C230" s="28">
        <v>7.9299999999999995E-2</v>
      </c>
      <c r="D230" s="28">
        <v>7.9299999999999995E-2</v>
      </c>
      <c r="E230" s="28">
        <v>7.9299999999999995E-2</v>
      </c>
      <c r="F230" s="28">
        <v>7.9299999999999995E-2</v>
      </c>
      <c r="G230" s="28">
        <v>1.0800000000000001E-2</v>
      </c>
    </row>
    <row r="231" spans="2:7" x14ac:dyDescent="0.3">
      <c r="B231" s="33">
        <v>39089</v>
      </c>
      <c r="C231" s="28">
        <v>7.8449999999999992E-2</v>
      </c>
      <c r="D231" s="28">
        <v>7.8449999999999992E-2</v>
      </c>
      <c r="E231" s="28">
        <v>7.8449999999999992E-2</v>
      </c>
      <c r="F231" s="28">
        <v>7.8449999999999992E-2</v>
      </c>
      <c r="G231" s="28">
        <v>-4.1799999999999997E-2</v>
      </c>
    </row>
    <row r="232" spans="2:7" x14ac:dyDescent="0.3">
      <c r="B232" s="33">
        <v>39088</v>
      </c>
      <c r="C232" s="28">
        <v>8.1869999999999998E-2</v>
      </c>
      <c r="D232" s="28">
        <v>8.1869999999999998E-2</v>
      </c>
      <c r="E232" s="28">
        <v>8.1869999999999998E-2</v>
      </c>
      <c r="F232" s="28">
        <v>8.1869999999999998E-2</v>
      </c>
      <c r="G232" s="28">
        <v>1.32E-2</v>
      </c>
    </row>
    <row r="233" spans="2:7" x14ac:dyDescent="0.3">
      <c r="B233" s="33">
        <v>39087</v>
      </c>
      <c r="C233" s="28">
        <v>8.0799999999999997E-2</v>
      </c>
      <c r="D233" s="28">
        <v>8.0799999999999997E-2</v>
      </c>
      <c r="E233" s="28">
        <v>8.0799999999999997E-2</v>
      </c>
      <c r="F233" s="28">
        <v>8.0799999999999997E-2</v>
      </c>
      <c r="G233" s="28">
        <v>-1.14E-2</v>
      </c>
    </row>
    <row r="234" spans="2:7" x14ac:dyDescent="0.3">
      <c r="B234" s="33">
        <v>39086</v>
      </c>
      <c r="C234" s="28">
        <v>8.1729999999999997E-2</v>
      </c>
      <c r="D234" s="28">
        <v>8.1729999999999997E-2</v>
      </c>
      <c r="E234" s="28">
        <v>8.1729999999999997E-2</v>
      </c>
      <c r="F234" s="28">
        <v>8.1729999999999997E-2</v>
      </c>
      <c r="G234" s="28">
        <v>1.8800000000000001E-2</v>
      </c>
    </row>
    <row r="235" spans="2:7" x14ac:dyDescent="0.3">
      <c r="B235" s="33">
        <v>39085</v>
      </c>
      <c r="C235" s="28">
        <v>8.022E-2</v>
      </c>
      <c r="D235" s="28">
        <v>8.022E-2</v>
      </c>
      <c r="E235" s="28">
        <v>8.022E-2</v>
      </c>
      <c r="F235" s="28">
        <v>8.022E-2</v>
      </c>
      <c r="G235" s="28">
        <v>2.8E-3</v>
      </c>
    </row>
    <row r="236" spans="2:7" x14ac:dyDescent="0.3">
      <c r="B236" s="33">
        <v>39084</v>
      </c>
      <c r="C236" s="28">
        <v>0.08</v>
      </c>
      <c r="D236" s="28">
        <v>0.08</v>
      </c>
      <c r="E236" s="28">
        <v>0.08</v>
      </c>
      <c r="F236" s="28">
        <v>0.08</v>
      </c>
      <c r="G236" s="28">
        <v>3.39E-2</v>
      </c>
    </row>
    <row r="237" spans="2:7" x14ac:dyDescent="0.3">
      <c r="B237" s="33">
        <v>39083</v>
      </c>
      <c r="C237" s="28">
        <v>7.7380000000000004E-2</v>
      </c>
      <c r="D237" s="28">
        <v>7.7380000000000004E-2</v>
      </c>
      <c r="E237" s="28">
        <v>7.7380000000000004E-2</v>
      </c>
      <c r="F237" s="28">
        <v>7.7380000000000004E-2</v>
      </c>
      <c r="G237" s="28">
        <v>1.5599999999999999E-2</v>
      </c>
    </row>
    <row r="238" spans="2:7" x14ac:dyDescent="0.3">
      <c r="B238" s="33">
        <v>38729</v>
      </c>
      <c r="C238" s="28">
        <v>7.6189999999999994E-2</v>
      </c>
      <c r="D238" s="28">
        <v>7.6189999999999994E-2</v>
      </c>
      <c r="E238" s="28">
        <v>7.6189999999999994E-2</v>
      </c>
      <c r="F238" s="28">
        <v>7.6189999999999994E-2</v>
      </c>
      <c r="G238" s="28">
        <v>2.63E-2</v>
      </c>
    </row>
    <row r="239" spans="2:7" x14ac:dyDescent="0.3">
      <c r="B239" s="33">
        <v>38728</v>
      </c>
      <c r="C239" s="28">
        <v>7.424E-2</v>
      </c>
      <c r="D239" s="28">
        <v>7.424E-2</v>
      </c>
      <c r="E239" s="28">
        <v>7.424E-2</v>
      </c>
      <c r="F239" s="28">
        <v>7.424E-2</v>
      </c>
      <c r="G239" s="28">
        <v>-2.64E-2</v>
      </c>
    </row>
    <row r="240" spans="2:7" x14ac:dyDescent="0.3">
      <c r="B240" s="33">
        <v>38727</v>
      </c>
      <c r="C240" s="28">
        <v>7.6249999999999998E-2</v>
      </c>
      <c r="D240" s="28">
        <v>7.6249999999999998E-2</v>
      </c>
      <c r="E240" s="28">
        <v>7.6249999999999998E-2</v>
      </c>
      <c r="F240" s="28">
        <v>7.6249999999999998E-2</v>
      </c>
      <c r="G240" s="28">
        <v>-2.2000000000000001E-3</v>
      </c>
    </row>
    <row r="241" spans="2:7" x14ac:dyDescent="0.3">
      <c r="B241" s="33">
        <v>38726</v>
      </c>
      <c r="C241" s="28">
        <v>7.6420000000000002E-2</v>
      </c>
      <c r="D241" s="28">
        <v>7.6420000000000002E-2</v>
      </c>
      <c r="E241" s="28">
        <v>7.6420000000000002E-2</v>
      </c>
      <c r="F241" s="28">
        <v>7.6420000000000002E-2</v>
      </c>
      <c r="G241" s="28">
        <v>-3.1600000000000003E-2</v>
      </c>
    </row>
    <row r="242" spans="2:7" x14ac:dyDescent="0.3">
      <c r="B242" s="33">
        <v>38725</v>
      </c>
      <c r="C242" s="28">
        <v>7.8909999999999994E-2</v>
      </c>
      <c r="D242" s="28">
        <v>7.8909999999999994E-2</v>
      </c>
      <c r="E242" s="28">
        <v>7.8909999999999994E-2</v>
      </c>
      <c r="F242" s="28">
        <v>7.8909999999999994E-2</v>
      </c>
      <c r="G242" s="28">
        <v>-4.2099999999999999E-2</v>
      </c>
    </row>
    <row r="243" spans="2:7" x14ac:dyDescent="0.3">
      <c r="B243" s="33">
        <v>38724</v>
      </c>
      <c r="C243" s="28">
        <v>8.2379999999999995E-2</v>
      </c>
      <c r="D243" s="28">
        <v>8.2379999999999995E-2</v>
      </c>
      <c r="E243" s="28">
        <v>8.2379999999999995E-2</v>
      </c>
      <c r="F243" s="28">
        <v>8.2379999999999995E-2</v>
      </c>
      <c r="G243" s="28">
        <v>1.0699999999999999E-2</v>
      </c>
    </row>
    <row r="244" spans="2:7" x14ac:dyDescent="0.3">
      <c r="B244" s="33">
        <v>38723</v>
      </c>
      <c r="C244" s="28">
        <v>8.1509999999999999E-2</v>
      </c>
      <c r="D244" s="28">
        <v>8.1509999999999999E-2</v>
      </c>
      <c r="E244" s="28">
        <v>8.1509999999999999E-2</v>
      </c>
      <c r="F244" s="28">
        <v>8.1509999999999999E-2</v>
      </c>
      <c r="G244" s="28">
        <v>6.4199999999999993E-2</v>
      </c>
    </row>
    <row r="245" spans="2:7" x14ac:dyDescent="0.3">
      <c r="B245" s="33">
        <v>38722</v>
      </c>
      <c r="C245" s="28">
        <v>7.6589999999999991E-2</v>
      </c>
      <c r="D245" s="28">
        <v>7.6589999999999991E-2</v>
      </c>
      <c r="E245" s="28">
        <v>7.6589999999999991E-2</v>
      </c>
      <c r="F245" s="28">
        <v>7.6589999999999991E-2</v>
      </c>
      <c r="G245" s="28">
        <v>3.6400000000000002E-2</v>
      </c>
    </row>
    <row r="246" spans="2:7" x14ac:dyDescent="0.3">
      <c r="B246" s="33">
        <v>38721</v>
      </c>
      <c r="C246" s="28">
        <v>7.3899999999999993E-2</v>
      </c>
      <c r="D246" s="28">
        <v>7.3899999999999993E-2</v>
      </c>
      <c r="E246" s="28">
        <v>7.3899999999999993E-2</v>
      </c>
      <c r="F246" s="28">
        <v>7.3899999999999993E-2</v>
      </c>
      <c r="G246" s="28">
        <v>-2.12E-2</v>
      </c>
    </row>
    <row r="247" spans="2:7" x14ac:dyDescent="0.3">
      <c r="B247" s="33">
        <v>38720</v>
      </c>
      <c r="C247" s="28">
        <v>7.5499999999999998E-2</v>
      </c>
      <c r="D247" s="28">
        <v>7.5499999999999998E-2</v>
      </c>
      <c r="E247" s="28">
        <v>7.5499999999999998E-2</v>
      </c>
      <c r="F247" s="28">
        <v>7.5499999999999998E-2</v>
      </c>
      <c r="G247" s="28">
        <v>2.12E-2</v>
      </c>
    </row>
    <row r="248" spans="2:7" x14ac:dyDescent="0.3">
      <c r="B248" s="33">
        <v>38719</v>
      </c>
      <c r="C248" s="28">
        <v>7.3929999999999996E-2</v>
      </c>
      <c r="D248" s="28">
        <v>7.3929999999999996E-2</v>
      </c>
      <c r="E248" s="28">
        <v>7.3929999999999996E-2</v>
      </c>
      <c r="F248" s="28">
        <v>7.3929999999999996E-2</v>
      </c>
      <c r="G248" s="28">
        <v>2.8E-3</v>
      </c>
    </row>
    <row r="249" spans="2:7" x14ac:dyDescent="0.3">
      <c r="B249" s="33">
        <v>38718</v>
      </c>
      <c r="C249" s="28">
        <v>7.3719999999999994E-2</v>
      </c>
      <c r="D249" s="28">
        <v>7.3719999999999994E-2</v>
      </c>
      <c r="E249" s="28">
        <v>7.3719999999999994E-2</v>
      </c>
      <c r="F249" s="28">
        <v>7.3719999999999994E-2</v>
      </c>
      <c r="G249" s="28">
        <v>3.6799999999999999E-2</v>
      </c>
    </row>
    <row r="250" spans="2:7" x14ac:dyDescent="0.3">
      <c r="B250" s="33">
        <v>38364</v>
      </c>
      <c r="C250" s="28">
        <v>7.1099999999999997E-2</v>
      </c>
      <c r="D250" s="28">
        <v>7.1099999999999997E-2</v>
      </c>
      <c r="E250" s="28">
        <v>7.1099999999999997E-2</v>
      </c>
      <c r="F250" s="28">
        <v>7.1099999999999997E-2</v>
      </c>
      <c r="G250" s="28">
        <v>3.8E-3</v>
      </c>
    </row>
    <row r="251" spans="2:7" x14ac:dyDescent="0.3">
      <c r="B251" s="33">
        <v>38363</v>
      </c>
      <c r="C251" s="28">
        <v>7.0830000000000004E-2</v>
      </c>
      <c r="D251" s="28">
        <v>7.0830000000000004E-2</v>
      </c>
      <c r="E251" s="28">
        <v>7.0830000000000004E-2</v>
      </c>
      <c r="F251" s="28">
        <v>7.0830000000000004E-2</v>
      </c>
      <c r="G251" s="28">
        <v>-2.3E-3</v>
      </c>
    </row>
    <row r="252" spans="2:7" x14ac:dyDescent="0.3">
      <c r="B252" s="33">
        <v>38362</v>
      </c>
      <c r="C252" s="28">
        <v>7.0989999999999998E-2</v>
      </c>
      <c r="D252" s="28">
        <v>7.0989999999999998E-2</v>
      </c>
      <c r="E252" s="28">
        <v>7.0989999999999998E-2</v>
      </c>
      <c r="F252" s="28">
        <v>7.0989999999999998E-2</v>
      </c>
      <c r="G252" s="28">
        <v>-2.9999999999999997E-4</v>
      </c>
    </row>
    <row r="253" spans="2:7" x14ac:dyDescent="0.3">
      <c r="B253" s="33">
        <v>38361</v>
      </c>
      <c r="C253" s="28">
        <v>7.1010000000000004E-2</v>
      </c>
      <c r="D253" s="28">
        <v>7.1010000000000004E-2</v>
      </c>
      <c r="E253" s="28">
        <v>7.1010000000000004E-2</v>
      </c>
      <c r="F253" s="28">
        <v>7.1010000000000004E-2</v>
      </c>
      <c r="G253" s="28">
        <v>1E-3</v>
      </c>
    </row>
    <row r="254" spans="2:7" x14ac:dyDescent="0.3">
      <c r="B254" s="33">
        <v>38360</v>
      </c>
      <c r="C254" s="28">
        <v>7.0940000000000003E-2</v>
      </c>
      <c r="D254" s="28">
        <v>7.0940000000000003E-2</v>
      </c>
      <c r="E254" s="28">
        <v>7.0940000000000003E-2</v>
      </c>
      <c r="F254" s="28">
        <v>7.0940000000000003E-2</v>
      </c>
      <c r="G254" s="28">
        <v>1.43E-2</v>
      </c>
    </row>
    <row r="255" spans="2:7" x14ac:dyDescent="0.3">
      <c r="B255" s="33">
        <v>38359</v>
      </c>
      <c r="C255" s="28">
        <v>6.9940000000000002E-2</v>
      </c>
      <c r="D255" s="28">
        <v>6.9940000000000002E-2</v>
      </c>
      <c r="E255" s="28">
        <v>6.9940000000000002E-2</v>
      </c>
      <c r="F255" s="28">
        <v>6.9940000000000002E-2</v>
      </c>
      <c r="G255" s="28">
        <v>1.26E-2</v>
      </c>
    </row>
    <row r="256" spans="2:7" x14ac:dyDescent="0.3">
      <c r="B256" s="33">
        <v>38358</v>
      </c>
      <c r="C256" s="28">
        <v>6.9070000000000006E-2</v>
      </c>
      <c r="D256" s="28">
        <v>6.9070000000000006E-2</v>
      </c>
      <c r="E256" s="28">
        <v>6.9070000000000006E-2</v>
      </c>
      <c r="F256" s="28">
        <v>6.9070000000000006E-2</v>
      </c>
      <c r="G256" s="28">
        <v>-1.03E-2</v>
      </c>
    </row>
    <row r="257" spans="2:7" x14ac:dyDescent="0.3">
      <c r="B257" s="33">
        <v>38357</v>
      </c>
      <c r="C257" s="28">
        <v>6.9790000000000005E-2</v>
      </c>
      <c r="D257" s="28">
        <v>6.9790000000000005E-2</v>
      </c>
      <c r="E257" s="28">
        <v>6.9790000000000005E-2</v>
      </c>
      <c r="F257" s="28">
        <v>6.9790000000000005E-2</v>
      </c>
      <c r="G257" s="28">
        <v>-5.1400000000000001E-2</v>
      </c>
    </row>
    <row r="258" spans="2:7" x14ac:dyDescent="0.3">
      <c r="B258" s="33">
        <v>38356</v>
      </c>
      <c r="C258" s="28">
        <v>7.3569999999999997E-2</v>
      </c>
      <c r="D258" s="28">
        <v>7.3569999999999997E-2</v>
      </c>
      <c r="E258" s="28">
        <v>7.3569999999999997E-2</v>
      </c>
      <c r="F258" s="28">
        <v>7.3569999999999997E-2</v>
      </c>
      <c r="G258" s="28">
        <v>0.10199999999999999</v>
      </c>
    </row>
    <row r="259" spans="2:7" x14ac:dyDescent="0.3">
      <c r="B259" s="33">
        <v>38355</v>
      </c>
      <c r="C259" s="28">
        <v>6.676E-2</v>
      </c>
      <c r="D259" s="28">
        <v>6.676E-2</v>
      </c>
      <c r="E259" s="28">
        <v>6.676E-2</v>
      </c>
      <c r="F259" s="28">
        <v>6.676E-2</v>
      </c>
      <c r="G259" s="28">
        <v>1.9400000000000001E-2</v>
      </c>
    </row>
    <row r="260" spans="2:7" x14ac:dyDescent="0.3">
      <c r="B260" s="33">
        <v>38354</v>
      </c>
      <c r="C260" s="28">
        <v>6.5490000000000007E-2</v>
      </c>
      <c r="D260" s="28">
        <v>6.5490000000000007E-2</v>
      </c>
      <c r="E260" s="28">
        <v>6.5490000000000007E-2</v>
      </c>
      <c r="F260" s="28">
        <v>6.5490000000000007E-2</v>
      </c>
      <c r="G260" s="28">
        <v>-2.3E-2</v>
      </c>
    </row>
    <row r="261" spans="2:7" x14ac:dyDescent="0.3">
      <c r="B261" s="33">
        <v>38353</v>
      </c>
      <c r="C261" s="28">
        <v>6.7030000000000006E-2</v>
      </c>
      <c r="D261" s="28">
        <v>6.7030000000000006E-2</v>
      </c>
      <c r="E261" s="28">
        <v>6.7030000000000006E-2</v>
      </c>
      <c r="F261" s="28">
        <v>6.7030000000000006E-2</v>
      </c>
      <c r="G261" s="28">
        <v>-4.0000000000000002E-4</v>
      </c>
    </row>
    <row r="262" spans="2:7" x14ac:dyDescent="0.3">
      <c r="B262" s="33">
        <v>37998</v>
      </c>
      <c r="C262" s="28">
        <v>6.7060000000000008E-2</v>
      </c>
      <c r="D262" s="28">
        <v>6.7060000000000008E-2</v>
      </c>
      <c r="E262" s="28">
        <v>6.7060000000000008E-2</v>
      </c>
      <c r="F262" s="28">
        <v>6.7060000000000008E-2</v>
      </c>
      <c r="G262" s="28">
        <v>-6.8199999999999997E-2</v>
      </c>
    </row>
    <row r="263" spans="2:7" x14ac:dyDescent="0.3">
      <c r="B263" s="33">
        <v>37997</v>
      </c>
      <c r="C263" s="28">
        <v>7.1970000000000006E-2</v>
      </c>
      <c r="D263" s="28">
        <v>7.1970000000000006E-2</v>
      </c>
      <c r="E263" s="28">
        <v>7.1970000000000006E-2</v>
      </c>
      <c r="F263" s="28">
        <v>7.1970000000000006E-2</v>
      </c>
      <c r="G263" s="28">
        <v>3.8199999999999998E-2</v>
      </c>
    </row>
    <row r="264" spans="2:7" x14ac:dyDescent="0.3">
      <c r="B264" s="33">
        <v>37996</v>
      </c>
      <c r="C264" s="28">
        <v>6.9320000000000007E-2</v>
      </c>
      <c r="D264" s="28">
        <v>6.9320000000000007E-2</v>
      </c>
      <c r="E264" s="28">
        <v>6.9320000000000007E-2</v>
      </c>
      <c r="F264" s="28">
        <v>6.9320000000000007E-2</v>
      </c>
      <c r="G264" s="28">
        <v>0.11020000000000001</v>
      </c>
    </row>
    <row r="265" spans="2:7" x14ac:dyDescent="0.3">
      <c r="B265" s="33">
        <v>37995</v>
      </c>
      <c r="C265" s="28">
        <v>6.2439999999999996E-2</v>
      </c>
      <c r="D265" s="28">
        <v>6.2439999999999996E-2</v>
      </c>
      <c r="E265" s="28">
        <v>6.2439999999999996E-2</v>
      </c>
      <c r="F265" s="28">
        <v>6.2439999999999996E-2</v>
      </c>
      <c r="G265" s="28">
        <v>2.5499999999999998E-2</v>
      </c>
    </row>
    <row r="266" spans="2:7" x14ac:dyDescent="0.3">
      <c r="B266" s="33">
        <v>37994</v>
      </c>
      <c r="C266" s="28">
        <v>6.0890000000000007E-2</v>
      </c>
      <c r="D266" s="28">
        <v>6.0890000000000007E-2</v>
      </c>
      <c r="E266" s="28">
        <v>6.0890000000000007E-2</v>
      </c>
      <c r="F266" s="28">
        <v>6.0890000000000007E-2</v>
      </c>
      <c r="G266" s="28">
        <v>-7.7999999999999996E-3</v>
      </c>
    </row>
    <row r="267" spans="2:7" x14ac:dyDescent="0.3">
      <c r="B267" s="33">
        <v>37993</v>
      </c>
      <c r="C267" s="28">
        <v>6.1369999999999994E-2</v>
      </c>
      <c r="D267" s="28">
        <v>6.1369999999999994E-2</v>
      </c>
      <c r="E267" s="28">
        <v>6.1369999999999994E-2</v>
      </c>
      <c r="F267" s="28">
        <v>6.1369999999999994E-2</v>
      </c>
      <c r="G267" s="28">
        <v>4.9099999999999998E-2</v>
      </c>
    </row>
    <row r="268" spans="2:7" x14ac:dyDescent="0.3">
      <c r="B268" s="33">
        <v>37992</v>
      </c>
      <c r="C268" s="28">
        <v>5.8499999999999996E-2</v>
      </c>
      <c r="D268" s="28">
        <v>5.8499999999999996E-2</v>
      </c>
      <c r="E268" s="28">
        <v>5.8499999999999996E-2</v>
      </c>
      <c r="F268" s="28">
        <v>5.8499999999999996E-2</v>
      </c>
      <c r="G268" s="28">
        <v>0.10920000000000001</v>
      </c>
    </row>
    <row r="269" spans="2:7" x14ac:dyDescent="0.3">
      <c r="B269" s="33">
        <v>37991</v>
      </c>
      <c r="C269" s="28">
        <v>5.2740000000000002E-2</v>
      </c>
      <c r="D269" s="28">
        <v>5.2740000000000002E-2</v>
      </c>
      <c r="E269" s="28">
        <v>5.2740000000000002E-2</v>
      </c>
      <c r="F269" s="28">
        <v>5.2740000000000002E-2</v>
      </c>
      <c r="G269" s="28">
        <v>3.0700000000000002E-2</v>
      </c>
    </row>
    <row r="270" spans="2:7" x14ac:dyDescent="0.3">
      <c r="B270" s="33">
        <v>37990</v>
      </c>
      <c r="C270" s="28">
        <v>5.117E-2</v>
      </c>
      <c r="D270" s="28">
        <v>5.117E-2</v>
      </c>
      <c r="E270" s="28">
        <v>5.117E-2</v>
      </c>
      <c r="F270" s="28">
        <v>5.117E-2</v>
      </c>
      <c r="G270" s="28">
        <v>-5.7999999999999996E-3</v>
      </c>
    </row>
    <row r="271" spans="2:7" x14ac:dyDescent="0.3">
      <c r="B271" s="33">
        <v>37989</v>
      </c>
      <c r="C271" s="28">
        <v>5.1470000000000002E-2</v>
      </c>
      <c r="D271" s="28">
        <v>5.1470000000000002E-2</v>
      </c>
      <c r="E271" s="28">
        <v>5.1470000000000002E-2</v>
      </c>
      <c r="F271" s="28">
        <v>5.1470000000000002E-2</v>
      </c>
      <c r="G271" s="28">
        <v>-2.1700000000000001E-2</v>
      </c>
    </row>
    <row r="272" spans="2:7" x14ac:dyDescent="0.3">
      <c r="B272" s="33">
        <v>37988</v>
      </c>
      <c r="C272" s="28">
        <v>5.2610000000000004E-2</v>
      </c>
      <c r="D272" s="28">
        <v>5.2610000000000004E-2</v>
      </c>
      <c r="E272" s="28">
        <v>5.2610000000000004E-2</v>
      </c>
      <c r="F272" s="28">
        <v>5.2610000000000004E-2</v>
      </c>
      <c r="G272" s="28">
        <v>7.3000000000000001E-3</v>
      </c>
    </row>
    <row r="273" spans="2:7" x14ac:dyDescent="0.3">
      <c r="B273" s="33">
        <v>37987</v>
      </c>
      <c r="C273" s="28">
        <v>5.2229999999999999E-2</v>
      </c>
      <c r="D273" s="28">
        <v>5.2229999999999999E-2</v>
      </c>
      <c r="E273" s="28">
        <v>5.2229999999999999E-2</v>
      </c>
      <c r="F273" s="28">
        <v>5.2229999999999999E-2</v>
      </c>
      <c r="G273" s="28">
        <v>1.9699999999999999E-2</v>
      </c>
    </row>
    <row r="274" spans="2:7" x14ac:dyDescent="0.3">
      <c r="B274" s="33">
        <v>37633</v>
      </c>
      <c r="C274" s="28">
        <v>5.1220000000000002E-2</v>
      </c>
      <c r="D274" s="28">
        <v>5.1220000000000002E-2</v>
      </c>
      <c r="E274" s="28">
        <v>5.1220000000000002E-2</v>
      </c>
      <c r="F274" s="28">
        <v>5.1220000000000002E-2</v>
      </c>
      <c r="G274" s="28">
        <v>-7.0000000000000001E-3</v>
      </c>
    </row>
    <row r="275" spans="2:7" x14ac:dyDescent="0.3">
      <c r="B275" s="33">
        <v>37632</v>
      </c>
      <c r="C275" s="28">
        <v>5.1580000000000001E-2</v>
      </c>
      <c r="D275" s="28">
        <v>5.1580000000000001E-2</v>
      </c>
      <c r="E275" s="28">
        <v>5.1580000000000001E-2</v>
      </c>
      <c r="F275" s="28">
        <v>5.1580000000000001E-2</v>
      </c>
      <c r="G275" s="28">
        <v>1.14E-2</v>
      </c>
    </row>
    <row r="276" spans="2:7" x14ac:dyDescent="0.3">
      <c r="B276" s="33">
        <v>37631</v>
      </c>
      <c r="C276" s="28">
        <v>5.0999999999999997E-2</v>
      </c>
      <c r="D276" s="28">
        <v>5.0999999999999997E-2</v>
      </c>
      <c r="E276" s="28">
        <v>5.0999999999999997E-2</v>
      </c>
      <c r="F276" s="28">
        <v>5.0999999999999997E-2</v>
      </c>
      <c r="G276" s="28">
        <v>-1.43E-2</v>
      </c>
    </row>
    <row r="277" spans="2:7" x14ac:dyDescent="0.3">
      <c r="B277" s="33">
        <v>37630</v>
      </c>
      <c r="C277" s="28">
        <v>5.1740000000000001E-2</v>
      </c>
      <c r="D277" s="28">
        <v>5.1740000000000001E-2</v>
      </c>
      <c r="E277" s="28">
        <v>5.1740000000000001E-2</v>
      </c>
      <c r="F277" s="28">
        <v>5.1740000000000001E-2</v>
      </c>
      <c r="G277" s="28">
        <v>-1.7100000000000001E-2</v>
      </c>
    </row>
    <row r="278" spans="2:7" x14ac:dyDescent="0.3">
      <c r="B278" s="33">
        <v>37629</v>
      </c>
      <c r="C278" s="28">
        <v>5.2639999999999999E-2</v>
      </c>
      <c r="D278" s="28">
        <v>5.2639999999999999E-2</v>
      </c>
      <c r="E278" s="28">
        <v>5.2639999999999999E-2</v>
      </c>
      <c r="F278" s="28">
        <v>5.2639999999999999E-2</v>
      </c>
      <c r="G278" s="28">
        <v>-6.2700000000000006E-2</v>
      </c>
    </row>
    <row r="279" spans="2:7" x14ac:dyDescent="0.3">
      <c r="B279" s="33">
        <v>37628</v>
      </c>
      <c r="C279" s="28">
        <v>5.6159999999999995E-2</v>
      </c>
      <c r="D279" s="28">
        <v>5.6159999999999995E-2</v>
      </c>
      <c r="E279" s="28">
        <v>5.6159999999999995E-2</v>
      </c>
      <c r="F279" s="28">
        <v>5.6159999999999995E-2</v>
      </c>
      <c r="G279" s="28">
        <v>-1.9599999999999999E-2</v>
      </c>
    </row>
    <row r="280" spans="2:7" x14ac:dyDescent="0.3">
      <c r="B280" s="33">
        <v>37627</v>
      </c>
      <c r="C280" s="28">
        <v>5.7279999999999998E-2</v>
      </c>
      <c r="D280" s="28">
        <v>5.7279999999999998E-2</v>
      </c>
      <c r="E280" s="28">
        <v>5.7279999999999998E-2</v>
      </c>
      <c r="F280" s="28">
        <v>5.7279999999999998E-2</v>
      </c>
      <c r="G280" s="28">
        <v>-1.1900000000000001E-2</v>
      </c>
    </row>
    <row r="281" spans="2:7" x14ac:dyDescent="0.3">
      <c r="B281" s="33">
        <v>37626</v>
      </c>
      <c r="C281" s="28">
        <v>5.7969999999999994E-2</v>
      </c>
      <c r="D281" s="28">
        <v>5.7969999999999994E-2</v>
      </c>
      <c r="E281" s="28">
        <v>5.7969999999999994E-2</v>
      </c>
      <c r="F281" s="28">
        <v>5.7969999999999994E-2</v>
      </c>
      <c r="G281" s="28">
        <v>-1.4500000000000001E-2</v>
      </c>
    </row>
    <row r="282" spans="2:7" x14ac:dyDescent="0.3">
      <c r="B282" s="33">
        <v>37625</v>
      </c>
      <c r="C282" s="28">
        <v>5.8819999999999997E-2</v>
      </c>
      <c r="D282" s="28">
        <v>5.8819999999999997E-2</v>
      </c>
      <c r="E282" s="28">
        <v>5.8819999999999997E-2</v>
      </c>
      <c r="F282" s="28">
        <v>5.8819999999999997E-2</v>
      </c>
      <c r="G282" s="28">
        <v>-0.04</v>
      </c>
    </row>
    <row r="283" spans="2:7" x14ac:dyDescent="0.3">
      <c r="B283" s="33">
        <v>37624</v>
      </c>
      <c r="C283" s="28">
        <v>6.1269999999999998E-2</v>
      </c>
      <c r="D283" s="28">
        <v>6.1269999999999998E-2</v>
      </c>
      <c r="E283" s="28">
        <v>6.1269999999999998E-2</v>
      </c>
      <c r="F283" s="28">
        <v>6.1269999999999998E-2</v>
      </c>
      <c r="G283" s="28">
        <v>2.7E-2</v>
      </c>
    </row>
    <row r="284" spans="2:7" x14ac:dyDescent="0.3">
      <c r="B284" s="33">
        <v>37623</v>
      </c>
      <c r="C284" s="28">
        <v>5.9660000000000005E-2</v>
      </c>
      <c r="D284" s="28">
        <v>5.9660000000000005E-2</v>
      </c>
      <c r="E284" s="28">
        <v>5.9660000000000005E-2</v>
      </c>
      <c r="F284" s="28">
        <v>5.9660000000000005E-2</v>
      </c>
      <c r="G284" s="28">
        <v>-5.6500000000000002E-2</v>
      </c>
    </row>
    <row r="285" spans="2:7" x14ac:dyDescent="0.3">
      <c r="B285" s="33">
        <v>37622</v>
      </c>
      <c r="C285" s="28">
        <v>6.3230000000000008E-2</v>
      </c>
      <c r="D285" s="28">
        <v>6.3230000000000008E-2</v>
      </c>
      <c r="E285" s="28">
        <v>6.3230000000000008E-2</v>
      </c>
      <c r="F285" s="28">
        <v>6.3230000000000008E-2</v>
      </c>
      <c r="G285" s="28">
        <v>3.95E-2</v>
      </c>
    </row>
    <row r="286" spans="2:7" x14ac:dyDescent="0.3">
      <c r="B286" s="33">
        <v>37268</v>
      </c>
      <c r="C286" s="28">
        <v>6.0830000000000002E-2</v>
      </c>
      <c r="D286" s="28">
        <v>6.0830000000000002E-2</v>
      </c>
      <c r="E286" s="28">
        <v>6.0830000000000002E-2</v>
      </c>
      <c r="F286" s="28">
        <v>6.0830000000000002E-2</v>
      </c>
      <c r="G286" s="28">
        <v>-5.3199999999999997E-2</v>
      </c>
    </row>
    <row r="287" spans="2:7" x14ac:dyDescent="0.3">
      <c r="B287" s="33">
        <v>37267</v>
      </c>
      <c r="C287" s="28">
        <v>6.4250000000000002E-2</v>
      </c>
      <c r="D287" s="28">
        <v>6.4250000000000002E-2</v>
      </c>
      <c r="E287" s="28">
        <v>6.4250000000000002E-2</v>
      </c>
      <c r="F287" s="28">
        <v>6.4250000000000002E-2</v>
      </c>
      <c r="G287" s="28">
        <v>-7.22E-2</v>
      </c>
    </row>
    <row r="288" spans="2:7" x14ac:dyDescent="0.3">
      <c r="B288" s="33">
        <v>37266</v>
      </c>
      <c r="C288" s="28">
        <v>6.9249999999999992E-2</v>
      </c>
      <c r="D288" s="28">
        <v>6.9249999999999992E-2</v>
      </c>
      <c r="E288" s="28">
        <v>6.9249999999999992E-2</v>
      </c>
      <c r="F288" s="28">
        <v>6.9249999999999992E-2</v>
      </c>
      <c r="G288" s="28">
        <v>-3.39E-2</v>
      </c>
    </row>
    <row r="289" spans="2:7" x14ac:dyDescent="0.3">
      <c r="B289" s="33">
        <v>37265</v>
      </c>
      <c r="C289" s="28">
        <v>7.1680000000000008E-2</v>
      </c>
      <c r="D289" s="28">
        <v>7.1680000000000008E-2</v>
      </c>
      <c r="E289" s="28">
        <v>7.1680000000000008E-2</v>
      </c>
      <c r="F289" s="28">
        <v>7.1680000000000008E-2</v>
      </c>
      <c r="G289" s="28">
        <v>1E-3</v>
      </c>
    </row>
    <row r="290" spans="2:7" x14ac:dyDescent="0.3">
      <c r="B290" s="33">
        <v>37264</v>
      </c>
      <c r="C290" s="28">
        <v>7.1609999999999993E-2</v>
      </c>
      <c r="D290" s="28">
        <v>7.1609999999999993E-2</v>
      </c>
      <c r="E290" s="28">
        <v>7.1609999999999993E-2</v>
      </c>
      <c r="F290" s="28">
        <v>7.1609999999999993E-2</v>
      </c>
      <c r="G290" s="28">
        <v>-2.01E-2</v>
      </c>
    </row>
    <row r="291" spans="2:7" x14ac:dyDescent="0.3">
      <c r="B291" s="33">
        <v>37263</v>
      </c>
      <c r="C291" s="28">
        <v>7.3079999999999992E-2</v>
      </c>
      <c r="D291" s="28">
        <v>7.3079999999999992E-2</v>
      </c>
      <c r="E291" s="28">
        <v>7.3079999999999992E-2</v>
      </c>
      <c r="F291" s="28">
        <v>7.3079999999999992E-2</v>
      </c>
      <c r="G291" s="28">
        <v>-2.3599999999999999E-2</v>
      </c>
    </row>
    <row r="292" spans="2:7" x14ac:dyDescent="0.3">
      <c r="B292" s="33">
        <v>37262</v>
      </c>
      <c r="C292" s="28">
        <v>7.485E-2</v>
      </c>
      <c r="D292" s="28">
        <v>7.485E-2</v>
      </c>
      <c r="E292" s="28">
        <v>7.485E-2</v>
      </c>
      <c r="F292" s="28">
        <v>7.485E-2</v>
      </c>
      <c r="G292" s="28">
        <v>-3.0800000000000001E-2</v>
      </c>
    </row>
    <row r="293" spans="2:7" x14ac:dyDescent="0.3">
      <c r="B293" s="33">
        <v>37261</v>
      </c>
      <c r="C293" s="28">
        <v>7.7229999999999993E-2</v>
      </c>
      <c r="D293" s="28">
        <v>7.7229999999999993E-2</v>
      </c>
      <c r="E293" s="28">
        <v>7.7229999999999993E-2</v>
      </c>
      <c r="F293" s="28">
        <v>7.7229999999999993E-2</v>
      </c>
      <c r="G293" s="28">
        <v>4.2200000000000001E-2</v>
      </c>
    </row>
    <row r="294" spans="2:7" x14ac:dyDescent="0.3">
      <c r="B294" s="33">
        <v>37260</v>
      </c>
      <c r="C294" s="28">
        <v>7.4099999999999999E-2</v>
      </c>
      <c r="D294" s="28">
        <v>7.4099999999999999E-2</v>
      </c>
      <c r="E294" s="28">
        <v>7.4099999999999999E-2</v>
      </c>
      <c r="F294" s="28">
        <v>7.4099999999999999E-2</v>
      </c>
      <c r="G294" s="28">
        <v>6.8999999999999999E-3</v>
      </c>
    </row>
    <row r="295" spans="2:7" x14ac:dyDescent="0.3">
      <c r="B295" s="33">
        <v>37259</v>
      </c>
      <c r="C295" s="28">
        <v>7.3590000000000003E-2</v>
      </c>
      <c r="D295" s="28">
        <v>7.3590000000000003E-2</v>
      </c>
      <c r="E295" s="28">
        <v>7.3590000000000003E-2</v>
      </c>
      <c r="F295" s="28">
        <v>7.3590000000000003E-2</v>
      </c>
      <c r="G295" s="28">
        <v>-3.5099999999999999E-2</v>
      </c>
    </row>
    <row r="296" spans="2:7" x14ac:dyDescent="0.3">
      <c r="B296" s="33">
        <v>37258</v>
      </c>
      <c r="C296" s="28">
        <v>7.6270000000000004E-2</v>
      </c>
      <c r="D296" s="28">
        <v>7.6270000000000004E-2</v>
      </c>
      <c r="E296" s="28">
        <v>7.6270000000000004E-2</v>
      </c>
      <c r="F296" s="28">
        <v>7.6270000000000004E-2</v>
      </c>
      <c r="G296" s="28">
        <v>-5.4999999999999997E-3</v>
      </c>
    </row>
    <row r="297" spans="2:7" x14ac:dyDescent="0.3">
      <c r="B297" s="33">
        <v>37257</v>
      </c>
      <c r="C297" s="28">
        <v>7.6689999999999994E-2</v>
      </c>
      <c r="D297" s="28">
        <v>7.6689999999999994E-2</v>
      </c>
      <c r="E297" s="28">
        <v>7.6689999999999994E-2</v>
      </c>
      <c r="F297" s="28">
        <v>7.6689999999999994E-2</v>
      </c>
      <c r="G297" s="28">
        <v>-3.4000000000000002E-2</v>
      </c>
    </row>
    <row r="298" spans="2:7" x14ac:dyDescent="0.3">
      <c r="B298" s="33">
        <v>36903</v>
      </c>
      <c r="C298" s="28">
        <v>7.9390000000000002E-2</v>
      </c>
      <c r="D298" s="28">
        <v>7.9390000000000002E-2</v>
      </c>
      <c r="E298" s="28">
        <v>7.9390000000000002E-2</v>
      </c>
      <c r="F298" s="28">
        <v>7.9390000000000002E-2</v>
      </c>
      <c r="G298" s="28">
        <v>7.4999999999999997E-3</v>
      </c>
    </row>
    <row r="299" spans="2:7" x14ac:dyDescent="0.3">
      <c r="B299" s="33">
        <v>36902</v>
      </c>
      <c r="C299" s="28">
        <v>7.8799999999999995E-2</v>
      </c>
      <c r="D299" s="28">
        <v>7.8799999999999995E-2</v>
      </c>
      <c r="E299" s="28">
        <v>7.8799999999999995E-2</v>
      </c>
      <c r="F299" s="28">
        <v>7.8799999999999995E-2</v>
      </c>
      <c r="G299" s="28">
        <v>-0.1045</v>
      </c>
    </row>
    <row r="300" spans="2:7" x14ac:dyDescent="0.3">
      <c r="B300" s="33">
        <v>36901</v>
      </c>
      <c r="C300" s="28">
        <v>8.8000000000000009E-2</v>
      </c>
      <c r="D300" s="28">
        <v>8.8000000000000009E-2</v>
      </c>
      <c r="E300" s="28">
        <v>8.8000000000000009E-2</v>
      </c>
      <c r="F300" s="28">
        <v>8.8000000000000009E-2</v>
      </c>
      <c r="G300" s="28">
        <v>-3.5299999999999998E-2</v>
      </c>
    </row>
    <row r="301" spans="2:7" x14ac:dyDescent="0.3">
      <c r="B301" s="33">
        <v>36900</v>
      </c>
      <c r="C301" s="28">
        <v>9.1219999999999996E-2</v>
      </c>
      <c r="D301" s="28">
        <v>9.1219999999999996E-2</v>
      </c>
      <c r="E301" s="28">
        <v>9.1219999999999996E-2</v>
      </c>
      <c r="F301" s="28">
        <v>9.1219999999999996E-2</v>
      </c>
      <c r="G301" s="28">
        <v>8.9999999999999998E-4</v>
      </c>
    </row>
    <row r="302" spans="2:7" x14ac:dyDescent="0.3">
      <c r="B302" s="33">
        <v>36899</v>
      </c>
      <c r="C302" s="28">
        <v>9.1140000000000013E-2</v>
      </c>
      <c r="D302" s="28">
        <v>9.1140000000000013E-2</v>
      </c>
      <c r="E302" s="28">
        <v>9.1140000000000013E-2</v>
      </c>
      <c r="F302" s="28">
        <v>9.1140000000000013E-2</v>
      </c>
      <c r="G302" s="28">
        <v>-2.6599999999999999E-2</v>
      </c>
    </row>
    <row r="303" spans="2:7" x14ac:dyDescent="0.3">
      <c r="B303" s="33">
        <v>36898</v>
      </c>
      <c r="C303" s="28">
        <v>9.3629999999999991E-2</v>
      </c>
      <c r="D303" s="28">
        <v>9.3629999999999991E-2</v>
      </c>
      <c r="E303" s="28">
        <v>9.3629999999999991E-2</v>
      </c>
      <c r="F303" s="28">
        <v>9.3629999999999991E-2</v>
      </c>
      <c r="G303" s="28">
        <v>-1.4500000000000001E-2</v>
      </c>
    </row>
    <row r="304" spans="2:7" x14ac:dyDescent="0.3">
      <c r="B304" s="33">
        <v>36897</v>
      </c>
      <c r="C304" s="28">
        <v>9.5009999999999997E-2</v>
      </c>
      <c r="D304" s="28">
        <v>9.5009999999999997E-2</v>
      </c>
      <c r="E304" s="28">
        <v>9.5009999999999997E-2</v>
      </c>
      <c r="F304" s="28">
        <v>9.5009999999999997E-2</v>
      </c>
      <c r="G304" s="28">
        <v>-2.6700000000000002E-2</v>
      </c>
    </row>
    <row r="305" spans="2:7" x14ac:dyDescent="0.3">
      <c r="B305" s="33">
        <v>36896</v>
      </c>
      <c r="C305" s="28">
        <v>9.7619999999999998E-2</v>
      </c>
      <c r="D305" s="28">
        <v>9.7619999999999998E-2</v>
      </c>
      <c r="E305" s="28">
        <v>9.7619999999999998E-2</v>
      </c>
      <c r="F305" s="28">
        <v>9.7619999999999998E-2</v>
      </c>
      <c r="G305" s="28">
        <v>-3.5900000000000001E-2</v>
      </c>
    </row>
    <row r="306" spans="2:7" x14ac:dyDescent="0.3">
      <c r="B306" s="33">
        <v>36895</v>
      </c>
      <c r="C306" s="28">
        <v>0.10125000000000001</v>
      </c>
      <c r="D306" s="28">
        <v>0.10125000000000001</v>
      </c>
      <c r="E306" s="28">
        <v>0.10125000000000001</v>
      </c>
      <c r="F306" s="28">
        <v>0.10125000000000001</v>
      </c>
      <c r="G306" s="28">
        <v>-2.01E-2</v>
      </c>
    </row>
    <row r="307" spans="2:7" x14ac:dyDescent="0.3">
      <c r="B307" s="33">
        <v>36894</v>
      </c>
      <c r="C307" s="28">
        <v>0.10333000000000001</v>
      </c>
      <c r="D307" s="28">
        <v>0.10333000000000001</v>
      </c>
      <c r="E307" s="28">
        <v>0.10333000000000001</v>
      </c>
      <c r="F307" s="28">
        <v>0.10333000000000001</v>
      </c>
      <c r="G307" s="28">
        <v>2.53E-2</v>
      </c>
    </row>
    <row r="308" spans="2:7" x14ac:dyDescent="0.3">
      <c r="B308" s="33">
        <v>36893</v>
      </c>
      <c r="C308" s="28">
        <v>0.10077999999999999</v>
      </c>
      <c r="D308" s="28">
        <v>0.10077999999999999</v>
      </c>
      <c r="E308" s="28">
        <v>0.10077999999999999</v>
      </c>
      <c r="F308" s="28">
        <v>0.10077999999999999</v>
      </c>
      <c r="G308" s="28">
        <v>-3.32E-2</v>
      </c>
    </row>
    <row r="309" spans="2:7" x14ac:dyDescent="0.3">
      <c r="B309" s="33">
        <v>36892</v>
      </c>
      <c r="C309" s="28">
        <v>0.10424</v>
      </c>
      <c r="D309" s="28">
        <v>0.10424</v>
      </c>
      <c r="E309" s="28">
        <v>0.10424</v>
      </c>
      <c r="F309" s="28">
        <v>0.10424</v>
      </c>
      <c r="G309" s="28">
        <v>-4.2299999999999997E-2</v>
      </c>
    </row>
    <row r="310" spans="2:7" x14ac:dyDescent="0.3">
      <c r="B310" s="33">
        <v>36537</v>
      </c>
      <c r="C310" s="28">
        <v>0.10884000000000001</v>
      </c>
      <c r="D310" s="28">
        <v>0.10884000000000001</v>
      </c>
      <c r="E310" s="28">
        <v>0.10884000000000001</v>
      </c>
      <c r="F310" s="28">
        <v>0.10884000000000001</v>
      </c>
      <c r="G310" s="28">
        <v>-4.0899999999999999E-2</v>
      </c>
    </row>
    <row r="311" spans="2:7" x14ac:dyDescent="0.3">
      <c r="B311" s="33">
        <v>36536</v>
      </c>
      <c r="C311" s="28">
        <v>0.11348000000000001</v>
      </c>
      <c r="D311" s="28">
        <v>0.11348000000000001</v>
      </c>
      <c r="E311" s="28">
        <v>0.11348000000000001</v>
      </c>
      <c r="F311" s="28">
        <v>0.11348000000000001</v>
      </c>
      <c r="G311" s="28">
        <v>-2.1700000000000001E-2</v>
      </c>
    </row>
    <row r="312" spans="2:7" x14ac:dyDescent="0.3">
      <c r="B312" s="33">
        <v>36535</v>
      </c>
      <c r="C312" s="28">
        <v>0.11599999999999999</v>
      </c>
      <c r="D312" s="28">
        <v>0.11599999999999999</v>
      </c>
      <c r="E312" s="28">
        <v>0.11599999999999999</v>
      </c>
      <c r="F312" s="28">
        <v>0.11599999999999999</v>
      </c>
      <c r="G312" s="28">
        <v>5.1999999999999998E-3</v>
      </c>
    </row>
    <row r="313" spans="2:7" x14ac:dyDescent="0.3">
      <c r="B313" s="33">
        <v>36534</v>
      </c>
      <c r="C313" s="28">
        <v>0.11539999999999999</v>
      </c>
      <c r="D313" s="28">
        <v>0.11539999999999999</v>
      </c>
      <c r="E313" s="28">
        <v>0.11539999999999999</v>
      </c>
      <c r="F313" s="28">
        <v>0.11539999999999999</v>
      </c>
      <c r="G313" s="28">
        <v>3.0000000000000001E-3</v>
      </c>
    </row>
    <row r="314" spans="2:7" x14ac:dyDescent="0.3">
      <c r="B314" s="33">
        <v>36533</v>
      </c>
      <c r="C314" s="28">
        <v>0.11505000000000001</v>
      </c>
      <c r="D314" s="28">
        <v>0.11505000000000001</v>
      </c>
      <c r="E314" s="28">
        <v>0.11505000000000001</v>
      </c>
      <c r="F314" s="28">
        <v>0.11505000000000001</v>
      </c>
      <c r="G314" s="28">
        <v>1.3299999999999999E-2</v>
      </c>
    </row>
    <row r="315" spans="2:7" x14ac:dyDescent="0.3">
      <c r="B315" s="33">
        <v>36532</v>
      </c>
      <c r="C315" s="28">
        <v>0.11353999999999999</v>
      </c>
      <c r="D315" s="28">
        <v>0.11353999999999999</v>
      </c>
      <c r="E315" s="28">
        <v>0.11353999999999999</v>
      </c>
      <c r="F315" s="28">
        <v>0.11353999999999999</v>
      </c>
      <c r="G315" s="28">
        <v>2.6700000000000002E-2</v>
      </c>
    </row>
    <row r="316" spans="2:7" x14ac:dyDescent="0.3">
      <c r="B316" s="33">
        <v>36531</v>
      </c>
      <c r="C316" s="28">
        <v>0.11058999999999999</v>
      </c>
      <c r="D316" s="28">
        <v>0.11058999999999999</v>
      </c>
      <c r="E316" s="28">
        <v>0.11058999999999999</v>
      </c>
      <c r="F316" s="28">
        <v>0.11058999999999999</v>
      </c>
      <c r="G316" s="28">
        <v>2.1399999999999999E-2</v>
      </c>
    </row>
    <row r="317" spans="2:7" x14ac:dyDescent="0.3">
      <c r="B317" s="33">
        <v>36530</v>
      </c>
      <c r="C317" s="28">
        <v>0.10827000000000001</v>
      </c>
      <c r="D317" s="28">
        <v>0.10827000000000001</v>
      </c>
      <c r="E317" s="28">
        <v>0.10827000000000001</v>
      </c>
      <c r="F317" s="28">
        <v>0.10827000000000001</v>
      </c>
      <c r="G317" s="28">
        <v>4.4699999999999997E-2</v>
      </c>
    </row>
    <row r="318" spans="2:7" x14ac:dyDescent="0.3">
      <c r="B318" s="33">
        <v>36529</v>
      </c>
      <c r="C318" s="28">
        <v>0.10364000000000001</v>
      </c>
      <c r="D318" s="28">
        <v>0.10364000000000001</v>
      </c>
      <c r="E318" s="28">
        <v>0.10364000000000001</v>
      </c>
      <c r="F318" s="28">
        <v>0.10364000000000001</v>
      </c>
      <c r="G318" s="28">
        <v>-3.6400000000000002E-2</v>
      </c>
    </row>
    <row r="319" spans="2:7" x14ac:dyDescent="0.3">
      <c r="B319" s="33">
        <v>36528</v>
      </c>
      <c r="C319" s="28">
        <v>0.10756</v>
      </c>
      <c r="D319" s="28">
        <v>0.10756</v>
      </c>
      <c r="E319" s="28">
        <v>0.10756</v>
      </c>
      <c r="F319" s="28">
        <v>0.10756</v>
      </c>
      <c r="G319" s="28">
        <v>3.3700000000000001E-2</v>
      </c>
    </row>
    <row r="320" spans="2:7" x14ac:dyDescent="0.3">
      <c r="B320" s="33">
        <v>36527</v>
      </c>
      <c r="C320" s="28">
        <v>0.10404999999999999</v>
      </c>
      <c r="D320" s="28">
        <v>0.10404999999999999</v>
      </c>
      <c r="E320" s="28">
        <v>0.10404999999999999</v>
      </c>
      <c r="F320" s="28">
        <v>0.10404999999999999</v>
      </c>
      <c r="G320" s="28">
        <v>-4.5199999999999997E-2</v>
      </c>
    </row>
    <row r="321" spans="2:7" x14ac:dyDescent="0.3">
      <c r="B321" s="34">
        <v>36526</v>
      </c>
      <c r="C321" s="30">
        <v>0.10897</v>
      </c>
      <c r="D321" s="30">
        <v>0.10897</v>
      </c>
      <c r="E321" s="30">
        <v>0.10897</v>
      </c>
      <c r="F321" s="30">
        <v>0.10897</v>
      </c>
      <c r="G321" s="30">
        <v>-2.6800000000000001E-2</v>
      </c>
    </row>
  </sheetData>
  <mergeCells count="1">
    <mergeCell ref="N18:T1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8"/>
  <sheetViews>
    <sheetView showGridLines="0" workbookViewId="0">
      <selection activeCell="G3" sqref="G3"/>
    </sheetView>
  </sheetViews>
  <sheetFormatPr defaultRowHeight="14.4" x14ac:dyDescent="0.3"/>
  <cols>
    <col min="1" max="1" width="2" customWidth="1"/>
    <col min="2" max="2" width="33.44140625" bestFit="1" customWidth="1"/>
    <col min="3" max="3" width="14.44140625" style="36" bestFit="1" customWidth="1"/>
    <col min="4" max="4" width="12" bestFit="1" customWidth="1"/>
    <col min="5" max="5" width="21.33203125" customWidth="1"/>
    <col min="6" max="6" width="12" bestFit="1" customWidth="1"/>
    <col min="7" max="7" width="19.21875" bestFit="1" customWidth="1"/>
    <col min="9" max="9" width="42" bestFit="1" customWidth="1"/>
  </cols>
  <sheetData>
    <row r="2" spans="2:10" x14ac:dyDescent="0.3">
      <c r="B2" s="37" t="s">
        <v>30</v>
      </c>
      <c r="C2" s="38" t="s">
        <v>31</v>
      </c>
      <c r="D2" s="7" t="s">
        <v>32</v>
      </c>
      <c r="E2" s="7" t="s">
        <v>33</v>
      </c>
      <c r="F2" s="7" t="s">
        <v>34</v>
      </c>
      <c r="G2" s="8" t="s">
        <v>35</v>
      </c>
    </row>
    <row r="3" spans="2:10" x14ac:dyDescent="0.3">
      <c r="B3" s="39" t="s">
        <v>36</v>
      </c>
      <c r="C3" s="40">
        <v>52</v>
      </c>
      <c r="D3" s="19">
        <v>571.1</v>
      </c>
      <c r="E3" s="19">
        <v>2751.489</v>
      </c>
      <c r="F3" s="19">
        <v>2180.3890000000001</v>
      </c>
      <c r="G3" s="13">
        <v>0.3817876028716512</v>
      </c>
    </row>
    <row r="4" spans="2:10" x14ac:dyDescent="0.3">
      <c r="B4" s="39" t="s">
        <v>37</v>
      </c>
      <c r="C4" s="40">
        <v>79</v>
      </c>
      <c r="D4" s="19">
        <v>12526.490999999998</v>
      </c>
      <c r="E4" s="19">
        <v>32083.936000000002</v>
      </c>
      <c r="F4" s="19">
        <v>19557.445000000003</v>
      </c>
      <c r="G4" s="13">
        <v>0.15612867961187221</v>
      </c>
    </row>
    <row r="5" spans="2:10" x14ac:dyDescent="0.3">
      <c r="B5" s="39" t="s">
        <v>38</v>
      </c>
      <c r="C5" s="40">
        <v>23</v>
      </c>
      <c r="D5" s="19">
        <v>812</v>
      </c>
      <c r="E5" s="19">
        <v>5182.7410000000009</v>
      </c>
      <c r="F5" s="19">
        <v>4370.7410000000009</v>
      </c>
      <c r="G5" s="13">
        <v>0.53826859605911337</v>
      </c>
      <c r="I5" s="2" t="s">
        <v>131</v>
      </c>
      <c r="J5" s="23">
        <f>AVERAGE(G3:G96)</f>
        <v>0.25585395855718779</v>
      </c>
    </row>
    <row r="6" spans="2:10" x14ac:dyDescent="0.3">
      <c r="B6" s="39" t="s">
        <v>39</v>
      </c>
      <c r="C6" s="40">
        <v>35</v>
      </c>
      <c r="D6" s="19">
        <v>1218.6199999999997</v>
      </c>
      <c r="E6" s="19">
        <v>6158.235999999999</v>
      </c>
      <c r="F6" s="19">
        <v>4939.6159999999991</v>
      </c>
      <c r="G6" s="13">
        <v>0.40534506244768675</v>
      </c>
      <c r="I6" s="2" t="s">
        <v>132</v>
      </c>
      <c r="J6" s="23">
        <f>TRIMMEAN(G3:G96,0.5)</f>
        <v>0.14500141380223788</v>
      </c>
    </row>
    <row r="7" spans="2:10" x14ac:dyDescent="0.3">
      <c r="B7" s="39" t="s">
        <v>40</v>
      </c>
      <c r="C7" s="40">
        <v>33</v>
      </c>
      <c r="D7" s="19">
        <v>3743.2</v>
      </c>
      <c r="E7" s="19">
        <v>12518.957000000002</v>
      </c>
      <c r="F7" s="19">
        <v>8775.7570000000014</v>
      </c>
      <c r="G7" s="13">
        <v>0.23444531416969441</v>
      </c>
    </row>
    <row r="8" spans="2:10" x14ac:dyDescent="0.3">
      <c r="B8" s="39" t="s">
        <v>41</v>
      </c>
      <c r="C8" s="40">
        <v>35</v>
      </c>
      <c r="D8" s="19">
        <v>693.93000000000006</v>
      </c>
      <c r="E8" s="19">
        <v>2351.1330000000003</v>
      </c>
      <c r="F8" s="19">
        <v>1657.2030000000002</v>
      </c>
      <c r="G8" s="13">
        <v>0.23881414551900049</v>
      </c>
    </row>
    <row r="9" spans="2:10" x14ac:dyDescent="0.3">
      <c r="B9" s="39" t="s">
        <v>42</v>
      </c>
      <c r="C9" s="40">
        <v>15</v>
      </c>
      <c r="D9" s="19">
        <v>40401.779000000002</v>
      </c>
      <c r="E9" s="19">
        <v>91770.65</v>
      </c>
      <c r="F9" s="19">
        <v>51368.870999999992</v>
      </c>
      <c r="G9" s="13">
        <v>0.12714507200289371</v>
      </c>
    </row>
    <row r="10" spans="2:10" x14ac:dyDescent="0.3">
      <c r="B10" s="39" t="s">
        <v>43</v>
      </c>
      <c r="C10" s="40">
        <v>568</v>
      </c>
      <c r="D10" s="19">
        <v>18200.199779999992</v>
      </c>
      <c r="E10" s="19">
        <v>29963.262999999999</v>
      </c>
      <c r="F10" s="19">
        <v>11763.063220000007</v>
      </c>
      <c r="G10" s="13">
        <v>6.4631506039435432E-2</v>
      </c>
    </row>
    <row r="11" spans="2:10" x14ac:dyDescent="0.3">
      <c r="B11" s="39" t="s">
        <v>44</v>
      </c>
      <c r="C11" s="40">
        <v>14</v>
      </c>
      <c r="D11" s="19">
        <v>1538</v>
      </c>
      <c r="E11" s="19">
        <v>3718.8049999999994</v>
      </c>
      <c r="F11" s="19">
        <v>2180.8049999999994</v>
      </c>
      <c r="G11" s="13">
        <v>0.14179486345903766</v>
      </c>
    </row>
    <row r="12" spans="2:10" x14ac:dyDescent="0.3">
      <c r="B12" s="39" t="s">
        <v>45</v>
      </c>
      <c r="C12" s="40">
        <v>27</v>
      </c>
      <c r="D12" s="19">
        <v>17711</v>
      </c>
      <c r="E12" s="19">
        <v>20640.189999999999</v>
      </c>
      <c r="F12" s="19">
        <v>2929.1899999999987</v>
      </c>
      <c r="G12" s="13">
        <v>1.6538817683925237E-2</v>
      </c>
    </row>
    <row r="13" spans="2:10" x14ac:dyDescent="0.3">
      <c r="B13" s="39" t="s">
        <v>46</v>
      </c>
      <c r="C13" s="40">
        <v>24</v>
      </c>
      <c r="D13" s="19">
        <v>894.77</v>
      </c>
      <c r="E13" s="19">
        <v>2423.9780000000001</v>
      </c>
      <c r="F13" s="19">
        <v>1529.2080000000001</v>
      </c>
      <c r="G13" s="13">
        <v>0.17090514880919122</v>
      </c>
    </row>
    <row r="14" spans="2:10" x14ac:dyDescent="0.3">
      <c r="B14" s="39" t="s">
        <v>47</v>
      </c>
      <c r="C14" s="40">
        <v>32</v>
      </c>
      <c r="D14" s="19">
        <v>14207.813999999998</v>
      </c>
      <c r="E14" s="19">
        <v>31828.728999999988</v>
      </c>
      <c r="F14" s="19">
        <v>17620.91499999999</v>
      </c>
      <c r="G14" s="13">
        <v>0.12402270328144774</v>
      </c>
    </row>
    <row r="15" spans="2:10" x14ac:dyDescent="0.3">
      <c r="B15" s="39" t="s">
        <v>48</v>
      </c>
      <c r="C15" s="40">
        <v>41</v>
      </c>
      <c r="D15" s="19">
        <v>2369.8299999999995</v>
      </c>
      <c r="E15" s="19">
        <v>12320.739999999996</v>
      </c>
      <c r="F15" s="19">
        <v>9950.9099999999962</v>
      </c>
      <c r="G15" s="13">
        <v>0.41989973964377186</v>
      </c>
    </row>
    <row r="16" spans="2:10" x14ac:dyDescent="0.3">
      <c r="B16" s="39" t="s">
        <v>49</v>
      </c>
      <c r="C16" s="40">
        <v>155</v>
      </c>
      <c r="D16" s="19">
        <v>8076.9078999999992</v>
      </c>
      <c r="E16" s="19">
        <v>22036.404999999999</v>
      </c>
      <c r="F16" s="19">
        <v>13959.497100000001</v>
      </c>
      <c r="G16" s="13">
        <v>0.17283219361706478</v>
      </c>
    </row>
    <row r="17" spans="2:7" x14ac:dyDescent="0.3">
      <c r="B17" s="39" t="s">
        <v>50</v>
      </c>
      <c r="C17" s="40">
        <v>9</v>
      </c>
      <c r="D17" s="19">
        <v>5224.2</v>
      </c>
      <c r="E17" s="19">
        <v>17685.43</v>
      </c>
      <c r="F17" s="19">
        <v>12461.23</v>
      </c>
      <c r="G17" s="13">
        <v>0.2385289613720761</v>
      </c>
    </row>
    <row r="18" spans="2:7" x14ac:dyDescent="0.3">
      <c r="B18" s="39" t="s">
        <v>51</v>
      </c>
      <c r="C18" s="40">
        <v>29</v>
      </c>
      <c r="D18" s="19">
        <v>4092.2999999999993</v>
      </c>
      <c r="E18" s="19">
        <v>4792.7099999999991</v>
      </c>
      <c r="F18" s="19">
        <v>700.40999999999985</v>
      </c>
      <c r="G18" s="13">
        <v>1.7115314126530314E-2</v>
      </c>
    </row>
    <row r="19" spans="2:7" x14ac:dyDescent="0.3">
      <c r="B19" s="39" t="s">
        <v>52</v>
      </c>
      <c r="C19" s="40">
        <v>4</v>
      </c>
      <c r="D19" s="19">
        <v>274</v>
      </c>
      <c r="E19" s="19">
        <v>282.08</v>
      </c>
      <c r="F19" s="19">
        <v>8.0799999999999841</v>
      </c>
      <c r="G19" s="13">
        <v>2.9489051094890454E-3</v>
      </c>
    </row>
    <row r="20" spans="2:7" x14ac:dyDescent="0.3">
      <c r="B20" s="39" t="s">
        <v>53</v>
      </c>
      <c r="C20" s="40">
        <v>59</v>
      </c>
      <c r="D20" s="19">
        <v>7870.1100000000015</v>
      </c>
      <c r="E20" s="19">
        <v>14612.83</v>
      </c>
      <c r="F20" s="19">
        <v>6742.7199999999984</v>
      </c>
      <c r="G20" s="13">
        <v>8.567504139078104E-2</v>
      </c>
    </row>
    <row r="21" spans="2:7" x14ac:dyDescent="0.3">
      <c r="B21" s="39" t="s">
        <v>54</v>
      </c>
      <c r="C21" s="40">
        <v>16</v>
      </c>
      <c r="D21" s="19">
        <v>72.209999999999994</v>
      </c>
      <c r="E21" s="19">
        <v>337.23199999999997</v>
      </c>
      <c r="F21" s="19">
        <v>265.02199999999999</v>
      </c>
      <c r="G21" s="13">
        <v>0.36701564880210497</v>
      </c>
    </row>
    <row r="22" spans="2:7" x14ac:dyDescent="0.3">
      <c r="B22" s="39" t="s">
        <v>55</v>
      </c>
      <c r="C22" s="40">
        <v>64</v>
      </c>
      <c r="D22" s="19">
        <v>7760.4699999999984</v>
      </c>
      <c r="E22" s="19">
        <v>15395.196999999998</v>
      </c>
      <c r="F22" s="19">
        <v>7634.7269999999999</v>
      </c>
      <c r="G22" s="13">
        <v>9.8379698652272363E-2</v>
      </c>
    </row>
    <row r="23" spans="2:7" x14ac:dyDescent="0.3">
      <c r="B23" s="39" t="s">
        <v>56</v>
      </c>
      <c r="C23" s="40">
        <v>36</v>
      </c>
      <c r="D23" s="19">
        <v>19202.07</v>
      </c>
      <c r="E23" s="19">
        <v>125382.12400000004</v>
      </c>
      <c r="F23" s="19">
        <v>106180.05400000003</v>
      </c>
      <c r="G23" s="13">
        <v>0.55296149842178488</v>
      </c>
    </row>
    <row r="24" spans="2:7" x14ac:dyDescent="0.3">
      <c r="B24" s="39" t="s">
        <v>57</v>
      </c>
      <c r="C24" s="40">
        <v>40</v>
      </c>
      <c r="D24" s="19">
        <v>7224.2999999999984</v>
      </c>
      <c r="E24" s="19">
        <v>15242.700999999997</v>
      </c>
      <c r="F24" s="19">
        <v>8018.4009999999989</v>
      </c>
      <c r="G24" s="13">
        <v>0.11099208227786776</v>
      </c>
    </row>
    <row r="25" spans="2:7" x14ac:dyDescent="0.3">
      <c r="B25" s="39" t="s">
        <v>58</v>
      </c>
      <c r="C25" s="40">
        <v>20</v>
      </c>
      <c r="D25" s="19">
        <v>4928.3799999999992</v>
      </c>
      <c r="E25" s="19">
        <v>12814.289999999999</v>
      </c>
      <c r="F25" s="19">
        <v>7885.91</v>
      </c>
      <c r="G25" s="13">
        <v>0.16001018590287278</v>
      </c>
    </row>
    <row r="26" spans="2:7" x14ac:dyDescent="0.3">
      <c r="B26" s="39" t="s">
        <v>59</v>
      </c>
      <c r="C26" s="40">
        <v>496</v>
      </c>
      <c r="D26" s="19">
        <v>20803.599999999999</v>
      </c>
      <c r="E26" s="19">
        <v>35208.845999999998</v>
      </c>
      <c r="F26" s="19">
        <v>14405.245999999999</v>
      </c>
      <c r="G26" s="13">
        <v>6.924400584514219E-2</v>
      </c>
    </row>
    <row r="27" spans="2:7" x14ac:dyDescent="0.3">
      <c r="B27" s="39" t="s">
        <v>60</v>
      </c>
      <c r="C27" s="40">
        <v>228</v>
      </c>
      <c r="D27" s="19">
        <v>42241.200000000004</v>
      </c>
      <c r="E27" s="19">
        <v>59827.339</v>
      </c>
      <c r="F27" s="19">
        <v>17586.138999999996</v>
      </c>
      <c r="G27" s="13">
        <v>4.1632669052962493E-2</v>
      </c>
    </row>
    <row r="28" spans="2:7" x14ac:dyDescent="0.3">
      <c r="B28" s="39" t="s">
        <v>61</v>
      </c>
      <c r="C28" s="40">
        <v>32</v>
      </c>
      <c r="D28" s="19">
        <v>339.3</v>
      </c>
      <c r="E28" s="19">
        <v>1477.2799999999997</v>
      </c>
      <c r="F28" s="19">
        <v>1137.9799999999998</v>
      </c>
      <c r="G28" s="13">
        <v>0.33539050987326846</v>
      </c>
    </row>
    <row r="29" spans="2:7" x14ac:dyDescent="0.3">
      <c r="B29" s="39" t="s">
        <v>62</v>
      </c>
      <c r="C29" s="40">
        <v>112</v>
      </c>
      <c r="D29" s="19">
        <v>2905.7070000000008</v>
      </c>
      <c r="E29" s="19">
        <v>8309</v>
      </c>
      <c r="F29" s="19">
        <v>5403.2929999999997</v>
      </c>
      <c r="G29" s="13">
        <v>0.18595450263911667</v>
      </c>
    </row>
    <row r="30" spans="2:7" x14ac:dyDescent="0.3">
      <c r="B30" s="39" t="s">
        <v>63</v>
      </c>
      <c r="C30" s="40">
        <v>8</v>
      </c>
      <c r="D30" s="19">
        <v>0</v>
      </c>
      <c r="E30" s="19">
        <v>109.78899999999999</v>
      </c>
      <c r="F30" s="19">
        <v>109.78899999999999</v>
      </c>
      <c r="G30" s="13">
        <v>0</v>
      </c>
    </row>
    <row r="31" spans="2:7" x14ac:dyDescent="0.3">
      <c r="B31" s="39" t="s">
        <v>64</v>
      </c>
      <c r="C31" s="40">
        <v>114</v>
      </c>
      <c r="D31" s="19">
        <v>2212.1769999999997</v>
      </c>
      <c r="E31" s="19">
        <v>8449.3749999999964</v>
      </c>
      <c r="F31" s="19">
        <v>6237.1979999999967</v>
      </c>
      <c r="G31" s="13">
        <v>0.28194841552009614</v>
      </c>
    </row>
    <row r="32" spans="2:7" x14ac:dyDescent="0.3">
      <c r="B32" s="39" t="s">
        <v>65</v>
      </c>
      <c r="C32" s="40">
        <v>48</v>
      </c>
      <c r="D32" s="19">
        <v>826.90899999999988</v>
      </c>
      <c r="E32" s="19">
        <v>3764.3540000000003</v>
      </c>
      <c r="F32" s="19">
        <v>2937.4450000000006</v>
      </c>
      <c r="G32" s="13">
        <v>0.35523195418117359</v>
      </c>
    </row>
    <row r="33" spans="2:7" x14ac:dyDescent="0.3">
      <c r="B33" s="39" t="s">
        <v>66</v>
      </c>
      <c r="C33" s="40">
        <v>92</v>
      </c>
      <c r="D33" s="19">
        <v>2622.4630000000002</v>
      </c>
      <c r="E33" s="19">
        <v>19102.065000000002</v>
      </c>
      <c r="F33" s="19">
        <v>16479.602000000003</v>
      </c>
      <c r="G33" s="13">
        <v>0.62840169718314431</v>
      </c>
    </row>
    <row r="34" spans="2:7" x14ac:dyDescent="0.3">
      <c r="B34" s="39" t="s">
        <v>67</v>
      </c>
      <c r="C34" s="40">
        <v>53</v>
      </c>
      <c r="D34" s="19">
        <v>2582.174</v>
      </c>
      <c r="E34" s="19">
        <v>3994.3320000000003</v>
      </c>
      <c r="F34" s="19">
        <v>1412.1580000000004</v>
      </c>
      <c r="G34" s="13">
        <v>5.4688723532961003E-2</v>
      </c>
    </row>
    <row r="35" spans="2:7" x14ac:dyDescent="0.3">
      <c r="B35" s="39" t="s">
        <v>68</v>
      </c>
      <c r="C35" s="40">
        <v>35</v>
      </c>
      <c r="D35" s="19">
        <v>3604.14</v>
      </c>
      <c r="E35" s="19">
        <v>6501.2560000000003</v>
      </c>
      <c r="F35" s="19">
        <v>2897.1160000000004</v>
      </c>
      <c r="G35" s="13">
        <v>8.0383003989856122E-2</v>
      </c>
    </row>
    <row r="36" spans="2:7" x14ac:dyDescent="0.3">
      <c r="B36" s="39" t="s">
        <v>69</v>
      </c>
      <c r="C36" s="40">
        <v>176</v>
      </c>
      <c r="D36" s="19">
        <v>24037.584000000006</v>
      </c>
      <c r="E36" s="19">
        <v>105217.34999999998</v>
      </c>
      <c r="F36" s="19">
        <v>81179.765999999974</v>
      </c>
      <c r="G36" s="13">
        <v>0.3377201552368988</v>
      </c>
    </row>
    <row r="37" spans="2:7" x14ac:dyDescent="0.3">
      <c r="B37" s="39" t="s">
        <v>70</v>
      </c>
      <c r="C37" s="40">
        <v>78</v>
      </c>
      <c r="D37" s="19">
        <v>11627.099999999999</v>
      </c>
      <c r="E37" s="19">
        <v>18534.778999999999</v>
      </c>
      <c r="F37" s="19">
        <v>6907.6790000000001</v>
      </c>
      <c r="G37" s="13">
        <v>5.9410162465275099E-2</v>
      </c>
    </row>
    <row r="38" spans="2:7" x14ac:dyDescent="0.3">
      <c r="B38" s="39" t="s">
        <v>71</v>
      </c>
      <c r="C38" s="40">
        <v>13</v>
      </c>
      <c r="D38" s="19">
        <v>1034.7</v>
      </c>
      <c r="E38" s="19">
        <v>3257.5659999999998</v>
      </c>
      <c r="F38" s="19">
        <v>2222.866</v>
      </c>
      <c r="G38" s="13">
        <v>0.21483193196095485</v>
      </c>
    </row>
    <row r="39" spans="2:7" x14ac:dyDescent="0.3">
      <c r="B39" s="39" t="s">
        <v>72</v>
      </c>
      <c r="C39" s="40">
        <v>27</v>
      </c>
      <c r="D39" s="19">
        <v>640.23599999999999</v>
      </c>
      <c r="E39" s="19">
        <v>1150.0729999999999</v>
      </c>
      <c r="F39" s="19">
        <v>509.83699999999988</v>
      </c>
      <c r="G39" s="13">
        <v>7.9632666704152824E-2</v>
      </c>
    </row>
    <row r="40" spans="2:7" x14ac:dyDescent="0.3">
      <c r="B40" s="39" t="s">
        <v>73</v>
      </c>
      <c r="C40" s="40">
        <v>15</v>
      </c>
      <c r="D40" s="19">
        <v>45.1</v>
      </c>
      <c r="E40" s="19">
        <v>48.344999999999999</v>
      </c>
      <c r="F40" s="19">
        <v>3.2449999999999974</v>
      </c>
      <c r="G40" s="13">
        <v>7.1951219512195064E-3</v>
      </c>
    </row>
    <row r="41" spans="2:7" x14ac:dyDescent="0.3">
      <c r="B41" s="39" t="s">
        <v>74</v>
      </c>
      <c r="C41" s="40">
        <v>204</v>
      </c>
      <c r="D41" s="19">
        <v>9780.43</v>
      </c>
      <c r="E41" s="19">
        <v>21628.873</v>
      </c>
      <c r="F41" s="19">
        <v>11848.442999999999</v>
      </c>
      <c r="G41" s="13">
        <v>0.12114439753671361</v>
      </c>
    </row>
    <row r="42" spans="2:7" x14ac:dyDescent="0.3">
      <c r="B42" s="39" t="s">
        <v>75</v>
      </c>
      <c r="C42" s="40">
        <v>104</v>
      </c>
      <c r="D42" s="19">
        <v>16728.048999999999</v>
      </c>
      <c r="E42" s="19">
        <v>48292.146000000008</v>
      </c>
      <c r="F42" s="19">
        <v>31564.097000000009</v>
      </c>
      <c r="G42" s="13">
        <v>0.18868964934284932</v>
      </c>
    </row>
    <row r="43" spans="2:7" x14ac:dyDescent="0.3">
      <c r="B43" s="39" t="s">
        <v>76</v>
      </c>
      <c r="C43" s="40">
        <v>115</v>
      </c>
      <c r="D43" s="19">
        <v>1927.9700000000003</v>
      </c>
      <c r="E43" s="19">
        <v>18008.863000000001</v>
      </c>
      <c r="F43" s="19">
        <v>16080.893</v>
      </c>
      <c r="G43" s="13">
        <v>0.8340841921814135</v>
      </c>
    </row>
    <row r="44" spans="2:7" x14ac:dyDescent="0.3">
      <c r="B44" s="39" t="s">
        <v>77</v>
      </c>
      <c r="C44" s="40">
        <v>30</v>
      </c>
      <c r="D44" s="19">
        <v>1533.8899999999999</v>
      </c>
      <c r="E44" s="19">
        <v>11748.837000000003</v>
      </c>
      <c r="F44" s="19">
        <v>10214.947000000004</v>
      </c>
      <c r="G44" s="13">
        <v>0.66595042669291826</v>
      </c>
    </row>
    <row r="45" spans="2:7" x14ac:dyDescent="0.3">
      <c r="B45" s="39" t="s">
        <v>78</v>
      </c>
      <c r="C45" s="40">
        <v>31</v>
      </c>
      <c r="D45" s="19">
        <v>988.38220000000013</v>
      </c>
      <c r="E45" s="19">
        <v>12608.8</v>
      </c>
      <c r="F45" s="19">
        <v>11620.417799999999</v>
      </c>
      <c r="G45" s="13">
        <v>1.1757008371862623</v>
      </c>
    </row>
    <row r="46" spans="2:7" x14ac:dyDescent="0.3">
      <c r="B46" s="39" t="s">
        <v>79</v>
      </c>
      <c r="C46" s="40">
        <v>63</v>
      </c>
      <c r="D46" s="19">
        <v>4468.0450000000001</v>
      </c>
      <c r="E46" s="19">
        <v>32179.880000000005</v>
      </c>
      <c r="F46" s="19">
        <v>27711.835000000006</v>
      </c>
      <c r="G46" s="13">
        <v>0.62022282676204044</v>
      </c>
    </row>
    <row r="47" spans="2:7" x14ac:dyDescent="0.3">
      <c r="B47" s="39" t="s">
        <v>80</v>
      </c>
      <c r="C47" s="40">
        <v>110</v>
      </c>
      <c r="D47" s="19">
        <v>16754.745999999999</v>
      </c>
      <c r="E47" s="19">
        <v>17209.388000000003</v>
      </c>
      <c r="F47" s="19">
        <v>454.64200000000346</v>
      </c>
      <c r="G47" s="13">
        <v>2.7135117416880175E-3</v>
      </c>
    </row>
    <row r="48" spans="2:7" x14ac:dyDescent="0.3">
      <c r="B48" s="39" t="s">
        <v>81</v>
      </c>
      <c r="C48" s="40">
        <v>15</v>
      </c>
      <c r="D48" s="19">
        <v>847.7</v>
      </c>
      <c r="E48" s="19">
        <v>3538.37</v>
      </c>
      <c r="F48" s="19">
        <v>2690.67</v>
      </c>
      <c r="G48" s="13">
        <v>0.31740828123156778</v>
      </c>
    </row>
    <row r="49" spans="2:7" x14ac:dyDescent="0.3">
      <c r="B49" s="39" t="s">
        <v>82</v>
      </c>
      <c r="C49" s="40">
        <v>21</v>
      </c>
      <c r="D49" s="19">
        <v>2582.1079999999997</v>
      </c>
      <c r="E49" s="19">
        <v>4010.7820000000002</v>
      </c>
      <c r="F49" s="19">
        <v>1428.6740000000004</v>
      </c>
      <c r="G49" s="13">
        <v>5.5329753829042025E-2</v>
      </c>
    </row>
    <row r="50" spans="2:7" x14ac:dyDescent="0.3">
      <c r="B50" s="39" t="s">
        <v>83</v>
      </c>
      <c r="C50" s="40">
        <v>20</v>
      </c>
      <c r="D50" s="19">
        <v>6322.8200000000006</v>
      </c>
      <c r="E50" s="19">
        <v>17713.203000000001</v>
      </c>
      <c r="F50" s="19">
        <v>11390.383000000002</v>
      </c>
      <c r="G50" s="13">
        <v>0.18014719697856335</v>
      </c>
    </row>
    <row r="51" spans="2:7" x14ac:dyDescent="0.3">
      <c r="B51" s="39" t="s">
        <v>84</v>
      </c>
      <c r="C51" s="40">
        <v>57</v>
      </c>
      <c r="D51" s="19">
        <v>10949.780999999994</v>
      </c>
      <c r="E51" s="19">
        <v>25530.087999999996</v>
      </c>
      <c r="F51" s="19">
        <v>14580.307000000003</v>
      </c>
      <c r="G51" s="13">
        <v>0.13315615170750913</v>
      </c>
    </row>
    <row r="52" spans="2:7" x14ac:dyDescent="0.3">
      <c r="B52" s="39" t="s">
        <v>85</v>
      </c>
      <c r="C52" s="40">
        <v>283</v>
      </c>
      <c r="D52" s="19">
        <v>21514.293000000005</v>
      </c>
      <c r="E52" s="19">
        <v>36336.42</v>
      </c>
      <c r="F52" s="19">
        <v>14822.126999999993</v>
      </c>
      <c r="G52" s="13">
        <v>6.889432527483004E-2</v>
      </c>
    </row>
    <row r="53" spans="2:7" x14ac:dyDescent="0.3">
      <c r="B53" s="39" t="s">
        <v>86</v>
      </c>
      <c r="C53" s="40">
        <v>105</v>
      </c>
      <c r="D53" s="19">
        <v>6954.0409999999993</v>
      </c>
      <c r="E53" s="19">
        <v>18732.537000000004</v>
      </c>
      <c r="F53" s="19">
        <v>11778.496000000005</v>
      </c>
      <c r="G53" s="13">
        <v>0.16937628064027815</v>
      </c>
    </row>
    <row r="54" spans="2:7" x14ac:dyDescent="0.3">
      <c r="B54" s="39" t="s">
        <v>87</v>
      </c>
      <c r="C54" s="40">
        <v>73</v>
      </c>
      <c r="D54" s="19">
        <v>3335.5</v>
      </c>
      <c r="E54" s="19">
        <v>3497.6680000000001</v>
      </c>
      <c r="F54" s="19">
        <v>162.16800000000012</v>
      </c>
      <c r="G54" s="13">
        <v>4.86187977814421E-3</v>
      </c>
    </row>
    <row r="55" spans="2:7" x14ac:dyDescent="0.3">
      <c r="B55" s="39" t="s">
        <v>88</v>
      </c>
      <c r="C55" s="40">
        <v>14</v>
      </c>
      <c r="D55" s="19">
        <v>341.15999999999991</v>
      </c>
      <c r="E55" s="19">
        <v>900.77</v>
      </c>
      <c r="F55" s="19">
        <v>559.61000000000013</v>
      </c>
      <c r="G55" s="13">
        <v>0.16403153945362886</v>
      </c>
    </row>
    <row r="56" spans="2:7" x14ac:dyDescent="0.3">
      <c r="B56" s="39" t="s">
        <v>89</v>
      </c>
      <c r="C56" s="40">
        <v>4</v>
      </c>
      <c r="D56" s="19">
        <v>30447.488000000001</v>
      </c>
      <c r="E56" s="19">
        <v>63620.18</v>
      </c>
      <c r="F56" s="19">
        <v>33172.691999999995</v>
      </c>
      <c r="G56" s="13">
        <v>0.10895050521080751</v>
      </c>
    </row>
    <row r="57" spans="2:7" x14ac:dyDescent="0.3">
      <c r="B57" s="39" t="s">
        <v>90</v>
      </c>
      <c r="C57" s="40">
        <v>142</v>
      </c>
      <c r="D57" s="19">
        <v>14786.459980000001</v>
      </c>
      <c r="E57" s="19">
        <v>31237.432999999997</v>
      </c>
      <c r="F57" s="19">
        <v>16450.973019999998</v>
      </c>
      <c r="G57" s="13">
        <v>0.11125700838639807</v>
      </c>
    </row>
    <row r="58" spans="2:7" x14ac:dyDescent="0.3">
      <c r="B58" s="39" t="s">
        <v>91</v>
      </c>
      <c r="C58" s="40">
        <v>23</v>
      </c>
      <c r="D58" s="19">
        <v>9873.14</v>
      </c>
      <c r="E58" s="19">
        <v>13627.616999999998</v>
      </c>
      <c r="F58" s="19">
        <v>3754.476999999999</v>
      </c>
      <c r="G58" s="13">
        <v>3.8027182841527611E-2</v>
      </c>
    </row>
    <row r="59" spans="2:7" x14ac:dyDescent="0.3">
      <c r="B59" s="39" t="s">
        <v>92</v>
      </c>
      <c r="C59" s="40">
        <v>97</v>
      </c>
      <c r="D59" s="19">
        <v>9182.8700000000026</v>
      </c>
      <c r="E59" s="19">
        <v>23550.492999999999</v>
      </c>
      <c r="F59" s="19">
        <v>14367.622999999996</v>
      </c>
      <c r="G59" s="13">
        <v>0.15646113905565462</v>
      </c>
    </row>
    <row r="60" spans="2:7" x14ac:dyDescent="0.3">
      <c r="B60" s="39" t="s">
        <v>93</v>
      </c>
      <c r="C60" s="40">
        <v>19</v>
      </c>
      <c r="D60" s="19">
        <v>2767.8</v>
      </c>
      <c r="E60" s="19">
        <v>6192.3899999999994</v>
      </c>
      <c r="F60" s="19">
        <v>3424.5899999999992</v>
      </c>
      <c r="G60" s="13">
        <v>0.12372967699978318</v>
      </c>
    </row>
    <row r="61" spans="2:7" x14ac:dyDescent="0.3">
      <c r="B61" s="39" t="s">
        <v>94</v>
      </c>
      <c r="C61" s="40">
        <v>6</v>
      </c>
      <c r="D61" s="19">
        <v>1261</v>
      </c>
      <c r="E61" s="19">
        <v>1492.3</v>
      </c>
      <c r="F61" s="19">
        <v>231.29999999999995</v>
      </c>
      <c r="G61" s="13">
        <v>1.834258524980174E-2</v>
      </c>
    </row>
    <row r="62" spans="2:7" x14ac:dyDescent="0.3">
      <c r="B62" s="39" t="s">
        <v>95</v>
      </c>
      <c r="C62" s="40">
        <v>46</v>
      </c>
      <c r="D62" s="19">
        <v>27437.156000000006</v>
      </c>
      <c r="E62" s="19">
        <v>28249.540000000005</v>
      </c>
      <c r="F62" s="19">
        <v>812.3839999999982</v>
      </c>
      <c r="G62" s="13">
        <v>2.9608899697913223E-3</v>
      </c>
    </row>
    <row r="63" spans="2:7" x14ac:dyDescent="0.3">
      <c r="B63" s="39" t="s">
        <v>96</v>
      </c>
      <c r="C63" s="40">
        <v>56</v>
      </c>
      <c r="D63" s="19">
        <v>2610.8014999999996</v>
      </c>
      <c r="E63" s="19">
        <v>5309.5849999999991</v>
      </c>
      <c r="F63" s="19">
        <v>2698.7834999999995</v>
      </c>
      <c r="G63" s="13">
        <v>0.10336992299108147</v>
      </c>
    </row>
    <row r="64" spans="2:7" x14ac:dyDescent="0.3">
      <c r="B64" s="39" t="s">
        <v>97</v>
      </c>
      <c r="C64" s="40">
        <v>19</v>
      </c>
      <c r="D64" s="19">
        <v>454.20200000000011</v>
      </c>
      <c r="E64" s="19">
        <v>1035.2070000000001</v>
      </c>
      <c r="F64" s="19">
        <v>581.005</v>
      </c>
      <c r="G64" s="13">
        <v>0.1279177546554176</v>
      </c>
    </row>
    <row r="65" spans="2:7" x14ac:dyDescent="0.3">
      <c r="B65" s="39" t="s">
        <v>98</v>
      </c>
      <c r="C65" s="40">
        <v>190</v>
      </c>
      <c r="D65" s="19">
        <v>54420.043500000007</v>
      </c>
      <c r="E65" s="19">
        <v>46810.659000000021</v>
      </c>
      <c r="F65" s="19">
        <v>0</v>
      </c>
      <c r="G65" s="13">
        <v>0</v>
      </c>
    </row>
    <row r="66" spans="2:7" x14ac:dyDescent="0.3">
      <c r="B66" s="39" t="s">
        <v>99</v>
      </c>
      <c r="C66" s="40">
        <v>14</v>
      </c>
      <c r="D66" s="19">
        <v>0</v>
      </c>
      <c r="E66" s="19">
        <v>12.85</v>
      </c>
      <c r="F66" s="19">
        <v>12.85</v>
      </c>
      <c r="G66" s="13">
        <v>0</v>
      </c>
    </row>
    <row r="67" spans="2:7" x14ac:dyDescent="0.3">
      <c r="B67" s="39" t="s">
        <v>100</v>
      </c>
      <c r="C67" s="40">
        <v>12</v>
      </c>
      <c r="D67" s="19">
        <v>62.900000000000006</v>
      </c>
      <c r="E67" s="19">
        <v>95.076999999999998</v>
      </c>
      <c r="F67" s="19">
        <v>32.176999999999992</v>
      </c>
      <c r="G67" s="13">
        <v>5.1155802861685196E-2</v>
      </c>
    </row>
    <row r="68" spans="2:7" x14ac:dyDescent="0.3">
      <c r="B68" s="39" t="s">
        <v>101</v>
      </c>
      <c r="C68" s="40">
        <v>54</v>
      </c>
      <c r="D68" s="19">
        <v>360.13</v>
      </c>
      <c r="E68" s="19">
        <v>2854.0359999999996</v>
      </c>
      <c r="F68" s="19">
        <v>2493.9059999999995</v>
      </c>
      <c r="G68" s="13">
        <v>0.69250159664565558</v>
      </c>
    </row>
    <row r="69" spans="2:7" x14ac:dyDescent="0.3">
      <c r="B69" s="39" t="s">
        <v>102</v>
      </c>
      <c r="C69" s="40">
        <v>49</v>
      </c>
      <c r="D69" s="19">
        <v>1148.6999999999996</v>
      </c>
      <c r="E69" s="19">
        <v>3088.6259999999997</v>
      </c>
      <c r="F69" s="19">
        <v>1939.9260000000002</v>
      </c>
      <c r="G69" s="13">
        <v>0.16888012535910166</v>
      </c>
    </row>
    <row r="70" spans="2:7" x14ac:dyDescent="0.3">
      <c r="B70" s="39" t="s">
        <v>103</v>
      </c>
      <c r="C70" s="40">
        <v>1</v>
      </c>
      <c r="D70" s="19">
        <v>237</v>
      </c>
      <c r="E70" s="19">
        <v>351</v>
      </c>
      <c r="F70" s="19">
        <v>114</v>
      </c>
      <c r="G70" s="13">
        <v>4.810126582278481E-2</v>
      </c>
    </row>
    <row r="71" spans="2:7" x14ac:dyDescent="0.3">
      <c r="B71" s="39" t="s">
        <v>104</v>
      </c>
      <c r="C71" s="40">
        <v>64</v>
      </c>
      <c r="D71" s="19">
        <v>11348.427999999998</v>
      </c>
      <c r="E71" s="19">
        <v>18587.010999999999</v>
      </c>
      <c r="F71" s="19">
        <v>7238.5830000000005</v>
      </c>
      <c r="G71" s="13">
        <v>6.3784896022603316E-2</v>
      </c>
    </row>
    <row r="72" spans="2:7" x14ac:dyDescent="0.3">
      <c r="B72" s="39" t="s">
        <v>105</v>
      </c>
      <c r="C72" s="40">
        <v>34</v>
      </c>
      <c r="D72" s="19">
        <v>644.64899999999989</v>
      </c>
      <c r="E72" s="19">
        <v>7657.5130000000008</v>
      </c>
      <c r="F72" s="19">
        <v>7012.8640000000014</v>
      </c>
      <c r="G72" s="13">
        <v>1.0878577334332331</v>
      </c>
    </row>
    <row r="73" spans="2:7" x14ac:dyDescent="0.3">
      <c r="B73" s="39" t="s">
        <v>106</v>
      </c>
      <c r="C73" s="40">
        <v>14</v>
      </c>
      <c r="D73" s="19">
        <v>12039.950999999999</v>
      </c>
      <c r="E73" s="19">
        <v>14435.190999999999</v>
      </c>
      <c r="F73" s="19">
        <v>2395.2399999999998</v>
      </c>
      <c r="G73" s="13">
        <v>1.9894100897918938E-2</v>
      </c>
    </row>
    <row r="74" spans="2:7" x14ac:dyDescent="0.3">
      <c r="B74" s="39" t="s">
        <v>107</v>
      </c>
      <c r="C74" s="40">
        <v>62</v>
      </c>
      <c r="D74" s="19">
        <v>5012.0650000000014</v>
      </c>
      <c r="E74" s="19">
        <v>10799.800000000003</v>
      </c>
      <c r="F74" s="19">
        <v>5787.7350000000015</v>
      </c>
      <c r="G74" s="13">
        <v>0.11547605627620552</v>
      </c>
    </row>
    <row r="75" spans="2:7" x14ac:dyDescent="0.3">
      <c r="B75" s="39" t="s">
        <v>108</v>
      </c>
      <c r="C75" s="40">
        <v>23</v>
      </c>
      <c r="D75" s="19">
        <v>13006.525</v>
      </c>
      <c r="E75" s="19">
        <v>29796.525000000001</v>
      </c>
      <c r="F75" s="19">
        <v>16790</v>
      </c>
      <c r="G75" s="13">
        <v>0.12908905337897708</v>
      </c>
    </row>
    <row r="76" spans="2:7" x14ac:dyDescent="0.3">
      <c r="B76" s="39" t="s">
        <v>109</v>
      </c>
      <c r="C76" s="40">
        <v>15</v>
      </c>
      <c r="D76" s="19">
        <v>1367.2</v>
      </c>
      <c r="E76" s="19">
        <v>9034.2500000000018</v>
      </c>
      <c r="F76" s="19">
        <v>7667.050000000002</v>
      </c>
      <c r="G76" s="13">
        <v>0.56078481568168537</v>
      </c>
    </row>
    <row r="77" spans="2:7" x14ac:dyDescent="0.3">
      <c r="B77" s="39" t="s">
        <v>110</v>
      </c>
      <c r="C77" s="40">
        <v>26</v>
      </c>
      <c r="D77" s="19">
        <v>9864.2339999999967</v>
      </c>
      <c r="E77" s="19">
        <v>6345.7550000000001</v>
      </c>
      <c r="F77" s="19">
        <v>0</v>
      </c>
      <c r="G77" s="13">
        <v>0</v>
      </c>
    </row>
    <row r="78" spans="2:7" x14ac:dyDescent="0.3">
      <c r="B78" s="39" t="s">
        <v>111</v>
      </c>
      <c r="C78" s="40">
        <v>94</v>
      </c>
      <c r="D78" s="19">
        <v>4703.7870000000003</v>
      </c>
      <c r="E78" s="19">
        <v>13484.790999999997</v>
      </c>
      <c r="F78" s="19">
        <v>8781.0039999999972</v>
      </c>
      <c r="G78" s="13">
        <v>0.18667945636143807</v>
      </c>
    </row>
    <row r="79" spans="2:7" x14ac:dyDescent="0.3">
      <c r="B79" s="39" t="s">
        <v>112</v>
      </c>
      <c r="C79" s="40">
        <v>3</v>
      </c>
      <c r="D79" s="19">
        <v>0</v>
      </c>
      <c r="E79" s="19">
        <v>0</v>
      </c>
      <c r="F79" s="19">
        <v>0</v>
      </c>
      <c r="G79" s="13">
        <v>0</v>
      </c>
    </row>
    <row r="80" spans="2:7" x14ac:dyDescent="0.3">
      <c r="B80" s="39" t="s">
        <v>113</v>
      </c>
      <c r="C80" s="40">
        <v>66</v>
      </c>
      <c r="D80" s="19">
        <v>25363.1</v>
      </c>
      <c r="E80" s="19">
        <v>106612.07400000002</v>
      </c>
      <c r="F80" s="19">
        <v>81248.974000000017</v>
      </c>
      <c r="G80" s="13">
        <v>0.32034323091420219</v>
      </c>
    </row>
    <row r="81" spans="2:7" x14ac:dyDescent="0.3">
      <c r="B81" s="39" t="s">
        <v>114</v>
      </c>
      <c r="C81" s="40">
        <v>31</v>
      </c>
      <c r="D81" s="19">
        <v>3803.6</v>
      </c>
      <c r="E81" s="19">
        <v>16093.536999999998</v>
      </c>
      <c r="F81" s="19">
        <v>12289.936999999998</v>
      </c>
      <c r="G81" s="13">
        <v>0.32311328741192546</v>
      </c>
    </row>
    <row r="82" spans="2:7" x14ac:dyDescent="0.3">
      <c r="B82" s="39" t="s">
        <v>115</v>
      </c>
      <c r="C82" s="40">
        <v>8</v>
      </c>
      <c r="D82" s="19">
        <v>106.30000000000001</v>
      </c>
      <c r="E82" s="19">
        <v>674.69</v>
      </c>
      <c r="F82" s="19">
        <v>568.3900000000001</v>
      </c>
      <c r="G82" s="13">
        <v>0.53470366886171217</v>
      </c>
    </row>
    <row r="83" spans="2:7" x14ac:dyDescent="0.3">
      <c r="B83" s="39" t="s">
        <v>116</v>
      </c>
      <c r="C83" s="40">
        <v>11</v>
      </c>
      <c r="D83" s="19">
        <v>2475.4700000000003</v>
      </c>
      <c r="E83" s="19">
        <v>4774.7939999999999</v>
      </c>
      <c r="F83" s="19">
        <v>2299.3239999999996</v>
      </c>
      <c r="G83" s="13">
        <v>9.2884341155416925E-2</v>
      </c>
    </row>
    <row r="84" spans="2:7" x14ac:dyDescent="0.3">
      <c r="B84" s="39" t="s">
        <v>117</v>
      </c>
      <c r="C84" s="40">
        <v>77</v>
      </c>
      <c r="D84" s="19">
        <v>15397.205999999998</v>
      </c>
      <c r="E84" s="19">
        <v>121449.33600000001</v>
      </c>
      <c r="F84" s="19">
        <v>106052.13</v>
      </c>
      <c r="G84" s="13">
        <v>0.68877515829820046</v>
      </c>
    </row>
    <row r="85" spans="2:7" x14ac:dyDescent="0.3">
      <c r="B85" s="39" t="s">
        <v>118</v>
      </c>
      <c r="C85" s="40">
        <v>29</v>
      </c>
      <c r="D85" s="19">
        <v>142.75800000000001</v>
      </c>
      <c r="E85" s="19">
        <v>6727.7370000000001</v>
      </c>
      <c r="F85" s="19">
        <v>6584.9790000000003</v>
      </c>
      <c r="G85" s="13">
        <v>4.6126865044340768</v>
      </c>
    </row>
    <row r="86" spans="2:7" x14ac:dyDescent="0.3">
      <c r="B86" s="39" t="s">
        <v>119</v>
      </c>
      <c r="C86" s="40">
        <v>309</v>
      </c>
      <c r="D86" s="19">
        <v>34027.142200000017</v>
      </c>
      <c r="E86" s="19">
        <v>97914.657000000007</v>
      </c>
      <c r="F86" s="19">
        <v>63887.51479999999</v>
      </c>
      <c r="G86" s="13">
        <v>0.18775457082023173</v>
      </c>
    </row>
    <row r="87" spans="2:7" x14ac:dyDescent="0.3">
      <c r="B87" s="39" t="s">
        <v>120</v>
      </c>
      <c r="C87" s="40">
        <v>19</v>
      </c>
      <c r="D87" s="19">
        <v>1355.8449999999998</v>
      </c>
      <c r="E87" s="19">
        <v>4101.5909999999994</v>
      </c>
      <c r="F87" s="19">
        <v>2745.7459999999996</v>
      </c>
      <c r="G87" s="13">
        <v>0.20251179153959339</v>
      </c>
    </row>
    <row r="88" spans="2:7" x14ac:dyDescent="0.3">
      <c r="B88" s="39" t="s">
        <v>121</v>
      </c>
      <c r="C88" s="40">
        <v>12</v>
      </c>
      <c r="D88" s="19">
        <v>6032.2</v>
      </c>
      <c r="E88" s="19">
        <v>18865.543000000001</v>
      </c>
      <c r="F88" s="19">
        <v>12833.343000000001</v>
      </c>
      <c r="G88" s="13">
        <v>0.21274730612380227</v>
      </c>
    </row>
    <row r="89" spans="2:7" x14ac:dyDescent="0.3">
      <c r="B89" s="39" t="s">
        <v>122</v>
      </c>
      <c r="C89" s="40">
        <v>57</v>
      </c>
      <c r="D89" s="19">
        <v>7331.7430000000004</v>
      </c>
      <c r="E89" s="19">
        <v>18065.997000000003</v>
      </c>
      <c r="F89" s="19">
        <v>10734.254000000003</v>
      </c>
      <c r="G89" s="13">
        <v>0.14640794146767014</v>
      </c>
    </row>
    <row r="90" spans="2:7" x14ac:dyDescent="0.3">
      <c r="B90" s="39" t="s">
        <v>123</v>
      </c>
      <c r="C90" s="40">
        <v>39</v>
      </c>
      <c r="D90" s="19">
        <v>19576.644</v>
      </c>
      <c r="E90" s="19">
        <v>15665.99</v>
      </c>
      <c r="F90" s="19">
        <v>0</v>
      </c>
      <c r="G90" s="13">
        <v>0</v>
      </c>
    </row>
    <row r="91" spans="2:7" x14ac:dyDescent="0.3">
      <c r="B91" s="39" t="s">
        <v>124</v>
      </c>
      <c r="C91" s="40">
        <v>10</v>
      </c>
      <c r="D91" s="19">
        <v>15432.85</v>
      </c>
      <c r="E91" s="19">
        <v>16460.82</v>
      </c>
      <c r="F91" s="19">
        <v>1027.9699999999993</v>
      </c>
      <c r="G91" s="13">
        <v>6.6609213463488552E-3</v>
      </c>
    </row>
    <row r="92" spans="2:7" x14ac:dyDescent="0.3">
      <c r="B92" s="39" t="s">
        <v>125</v>
      </c>
      <c r="C92" s="40">
        <v>19</v>
      </c>
      <c r="D92" s="19">
        <v>7282.2000000000007</v>
      </c>
      <c r="E92" s="19">
        <v>17237.828000000001</v>
      </c>
      <c r="F92" s="19">
        <v>9955.6280000000006</v>
      </c>
      <c r="G92" s="13">
        <v>0.13671181785724093</v>
      </c>
    </row>
    <row r="93" spans="2:7" x14ac:dyDescent="0.3">
      <c r="B93" s="39" t="s">
        <v>126</v>
      </c>
      <c r="C93" s="40">
        <v>4</v>
      </c>
      <c r="D93" s="19">
        <v>5419.8</v>
      </c>
      <c r="E93" s="19">
        <v>11615.8</v>
      </c>
      <c r="F93" s="19">
        <v>6195.9999999999991</v>
      </c>
      <c r="G93" s="13">
        <v>0.11432156168124283</v>
      </c>
    </row>
    <row r="94" spans="2:7" x14ac:dyDescent="0.3">
      <c r="B94" s="39" t="s">
        <v>127</v>
      </c>
      <c r="C94" s="40">
        <v>26</v>
      </c>
      <c r="D94" s="19">
        <v>906.12000000000012</v>
      </c>
      <c r="E94" s="19">
        <v>3576.0330000000004</v>
      </c>
      <c r="F94" s="19">
        <v>2669.9130000000005</v>
      </c>
      <c r="G94" s="13">
        <v>0.29465335717123564</v>
      </c>
    </row>
    <row r="95" spans="2:7" x14ac:dyDescent="0.3">
      <c r="B95" s="39" t="s">
        <v>128</v>
      </c>
      <c r="C95" s="40">
        <v>14</v>
      </c>
      <c r="D95" s="19">
        <v>11209.699999999999</v>
      </c>
      <c r="E95" s="19">
        <v>11283.999999999998</v>
      </c>
      <c r="F95" s="19">
        <v>74.299999999999272</v>
      </c>
      <c r="G95" s="13">
        <v>6.6281880871030697E-4</v>
      </c>
    </row>
    <row r="96" spans="2:7" x14ac:dyDescent="0.3">
      <c r="B96" s="41" t="s">
        <v>129</v>
      </c>
      <c r="C96" s="42">
        <v>14</v>
      </c>
      <c r="D96" s="21">
        <v>1246.75</v>
      </c>
      <c r="E96" s="21">
        <v>1253.5909999999999</v>
      </c>
      <c r="F96" s="21">
        <v>6.8409999999998945</v>
      </c>
      <c r="G96" s="17">
        <v>5.4870663725685941E-4</v>
      </c>
    </row>
    <row r="98" spans="2:2" x14ac:dyDescent="0.3">
      <c r="B98" s="2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Valuation&gt;</vt:lpstr>
      <vt:lpstr>Nifty 50 Valuation</vt:lpstr>
      <vt:lpstr>Data&gt;</vt:lpstr>
      <vt:lpstr>Exp Divident &amp; Buybacks</vt:lpstr>
      <vt:lpstr>Nifty EPS Growth</vt:lpstr>
      <vt:lpstr>Nifty Historicals</vt:lpstr>
      <vt:lpstr>ERP Historicals</vt:lpstr>
      <vt:lpstr>RFR Historicals</vt:lpstr>
      <vt:lpstr>BB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Tokse</dc:creator>
  <cp:lastModifiedBy>Tanishq Tokse</cp:lastModifiedBy>
  <dcterms:created xsi:type="dcterms:W3CDTF">2026-07-23T12:03:46Z</dcterms:created>
  <dcterms:modified xsi:type="dcterms:W3CDTF">2026-08-21T08:04:08Z</dcterms:modified>
</cp:coreProperties>
</file>